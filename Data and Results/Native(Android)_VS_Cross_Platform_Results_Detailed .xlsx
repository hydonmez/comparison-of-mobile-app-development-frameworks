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072" windowHeight="7896"/>
  </bookViews>
  <sheets>
    <sheet name="Video Test" sheetId="9" r:id="rId1"/>
    <sheet name="Audio Test" sheetId="8" r:id="rId2"/>
    <sheet name="Storage Write Test" sheetId="7" r:id="rId3"/>
    <sheet name="Storage Read Test" sheetId="6" r:id="rId4"/>
    <sheet name="Json Test" sheetId="5" r:id="rId5"/>
    <sheet name="Map Test" sheetId="3" r:id="rId6"/>
    <sheet name="List Test" sheetId="4" r:id="rId7"/>
    <sheet name="Sensor Test" sheetId="1" r:id="rId8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4" l="1"/>
  <c r="P41" i="4"/>
  <c r="P42" i="4"/>
  <c r="Q42" i="4" l="1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Q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Q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O40" i="9"/>
  <c r="O41" i="9"/>
  <c r="O42" i="9"/>
  <c r="O39" i="9"/>
  <c r="K40" i="9"/>
  <c r="K41" i="9"/>
  <c r="K42" i="9"/>
  <c r="K39" i="9"/>
  <c r="G40" i="9"/>
  <c r="G41" i="9"/>
  <c r="G42" i="9"/>
  <c r="G39" i="9"/>
  <c r="C40" i="9"/>
  <c r="C41" i="9"/>
  <c r="C42" i="9"/>
  <c r="C39" i="9"/>
  <c r="Q40" i="9" l="1"/>
  <c r="Q41" i="9"/>
  <c r="Q42" i="9"/>
  <c r="Q39" i="9"/>
  <c r="P40" i="9"/>
  <c r="P41" i="9"/>
  <c r="P42" i="9"/>
  <c r="P39" i="9"/>
  <c r="M40" i="9"/>
  <c r="M41" i="9"/>
  <c r="M42" i="9"/>
  <c r="M39" i="9"/>
  <c r="L40" i="9"/>
  <c r="L41" i="9"/>
  <c r="L42" i="9"/>
  <c r="L39" i="9"/>
  <c r="I40" i="9"/>
  <c r="I41" i="9"/>
  <c r="I42" i="9"/>
  <c r="I39" i="9"/>
  <c r="H40" i="9"/>
  <c r="H41" i="9"/>
  <c r="H42" i="9"/>
  <c r="H39" i="9"/>
  <c r="E40" i="9"/>
  <c r="E41" i="9"/>
  <c r="E42" i="9"/>
  <c r="E39" i="9"/>
  <c r="D40" i="9"/>
  <c r="D41" i="9"/>
  <c r="D42" i="9"/>
  <c r="D39" i="9"/>
  <c r="R42" i="5" l="1"/>
  <c r="R41" i="5"/>
  <c r="R40" i="5"/>
  <c r="R39" i="5"/>
  <c r="R42" i="7"/>
  <c r="R41" i="7"/>
  <c r="R40" i="7"/>
  <c r="R39" i="7"/>
  <c r="R42" i="6"/>
  <c r="R41" i="6"/>
  <c r="R40" i="6"/>
  <c r="R39" i="6"/>
  <c r="F39" i="9" l="1"/>
  <c r="J39" i="9"/>
  <c r="N39" i="9"/>
  <c r="F40" i="9"/>
  <c r="J40" i="9"/>
  <c r="N40" i="9"/>
  <c r="F41" i="9"/>
  <c r="J41" i="9"/>
  <c r="N41" i="9"/>
  <c r="F42" i="9"/>
  <c r="J42" i="9"/>
  <c r="N42" i="9"/>
  <c r="B40" i="9"/>
  <c r="B41" i="9"/>
  <c r="B42" i="9"/>
  <c r="B39" i="9"/>
</calcChain>
</file>

<file path=xl/sharedStrings.xml><?xml version="1.0" encoding="utf-8"?>
<sst xmlns="http://schemas.openxmlformats.org/spreadsheetml/2006/main" count="1345" uniqueCount="173">
  <si>
    <t>CPU</t>
  </si>
  <si>
    <t>RAW_RAM</t>
  </si>
  <si>
    <t>NET RAM</t>
  </si>
  <si>
    <t>FPS</t>
  </si>
  <si>
    <t>avg</t>
  </si>
  <si>
    <t>stde</t>
  </si>
  <si>
    <t>min</t>
  </si>
  <si>
    <t>max</t>
  </si>
  <si>
    <t>Video_Native_Complete_1776685063.csv</t>
  </si>
  <si>
    <t>KMP</t>
  </si>
  <si>
    <t>Video_FullScreen_KMP_Complete_1776814292.csv</t>
  </si>
  <si>
    <t>FLUTTER</t>
  </si>
  <si>
    <t>Video_FullScreen_Flutter_ManualExport_1777135110.csv</t>
  </si>
  <si>
    <t>Video_ReactNative_Component_Partial_1777500542.csv</t>
  </si>
  <si>
    <t>Video_Native_Complete_1776687220.csv</t>
  </si>
  <si>
    <t>Video_FullScreen_KMP_Complete_1776807182.csv</t>
  </si>
  <si>
    <t>Video_FullScreen_Flutter_ManualExport_1777141581.csv</t>
  </si>
  <si>
    <t>Video_ReactNative_Component_Partial_1777502519.csv</t>
  </si>
  <si>
    <t>Video_Native_Complete_1776794696.csv</t>
  </si>
  <si>
    <t>Video_FullScreen_KMP_Complete_1778579215.csv</t>
  </si>
  <si>
    <t>Video_FullScreen_Flutter_ManualExport_1777152987.csv</t>
  </si>
  <si>
    <t>Video_ReactNative_Component_Partial_1777504457.csv</t>
  </si>
  <si>
    <t>Video_Native_Complete_1776795766.csv</t>
  </si>
  <si>
    <t>Video_FullScreen_KMP_Complete_1776811878.csv</t>
  </si>
  <si>
    <t>Video_FullScreen_Flutter_ManualExport_1777156677.csv</t>
  </si>
  <si>
    <t>Video_ReactNative_Component_Partial_1777506572.csv</t>
  </si>
  <si>
    <t>Video_Native_Complete_1776802120.csv</t>
  </si>
  <si>
    <t>Video_FullScreen_KMP_Complete_1776812940.csv</t>
  </si>
  <si>
    <t>Video_FullScreen_Flutter_ManualExport_1777160443.csv</t>
  </si>
  <si>
    <t>Video_ReactNative_Component_Partial_1777508147.csv</t>
  </si>
  <si>
    <t>Audio_Native_Complete_1776685400</t>
  </si>
  <si>
    <t>Audio_KMP_Complete_1776814629.csv</t>
  </si>
  <si>
    <t>Audio_Flutter_Complete_1777197726.csv</t>
  </si>
  <si>
    <t>Audio_RN_Complete_1777500995.csv</t>
  </si>
  <si>
    <t>Audio_Native_Complete_1776688486.csv</t>
  </si>
  <si>
    <t>Audio_KMP_Complete_1776807521.csv</t>
  </si>
  <si>
    <t>Audio_Flutter_Complete_1777142161.csv</t>
  </si>
  <si>
    <t>Audio_RN_Complete_1777502866.csv</t>
  </si>
  <si>
    <t>Audio_Native_Complete_1776795045.csv</t>
  </si>
  <si>
    <t>Audio_KMP_Complete_1776809391.csv</t>
  </si>
  <si>
    <t>Audio_Flutter_Complete_1777153326.csv</t>
  </si>
  <si>
    <t>Audio_RN_Complete_1777505195.csv</t>
  </si>
  <si>
    <t>Audio_Native_Complete_1776796135.csv</t>
  </si>
  <si>
    <t>Audio_KMP_Complete_1776812213.csv</t>
  </si>
  <si>
    <t>Audio_Flutter_Complete_1777157022.csv</t>
  </si>
  <si>
    <t>Audio_RN_Complete_1777506911.csv</t>
  </si>
  <si>
    <t>Audio_Native_Complete_1776802467.csv</t>
  </si>
  <si>
    <t>Audio_KMP_Complete_1776813624.csv</t>
  </si>
  <si>
    <t>Audio_Flutter_Complete_1777160877.csv</t>
  </si>
  <si>
    <t>native_Storage_Write_2GB_1776682057.csv</t>
  </si>
  <si>
    <t>Storage_Write_KMP_2GB_1776852089.csv</t>
  </si>
  <si>
    <t>Storage_Write_Flutter_2GB_1777136521.csv</t>
  </si>
  <si>
    <t>Storage_RN_Write_2GB_1777501324.csv</t>
  </si>
  <si>
    <t>native_Storage_Write_2GB_1776694032.csv</t>
  </si>
  <si>
    <t>Storage_Write_KMP_2GB_1776807655.csv</t>
  </si>
  <si>
    <t>Storage_Write_Flutter_2GB_1777142228.csv</t>
  </si>
  <si>
    <t>Storage_RN_Write_2GB_1777502959.csv</t>
  </si>
  <si>
    <t>native_Storage_Write_2GB_1776765883.csv</t>
  </si>
  <si>
    <t>Storage_Write_KMP_2GB_1776809485.csv</t>
  </si>
  <si>
    <t>Storage_Write_Flutter_2GB_1777153969.csv</t>
  </si>
  <si>
    <t>Storage_RN_Write_2GB_1777505340.csv</t>
  </si>
  <si>
    <t>native_Storage_Write_2GB_1776799900.csv</t>
  </si>
  <si>
    <t>Storage_Write_KMP_2GB_1776848004.csv</t>
  </si>
  <si>
    <t>Storage_Write_Flutter_2GB_1777158624.csv</t>
  </si>
  <si>
    <t>Storage_RN_Write_2GB_1777506975.csv</t>
  </si>
  <si>
    <t>native_Storage_Write_2GB_1776803080.csv</t>
  </si>
  <si>
    <t>Storage_Write_Flutter_2GB_1777195927.csv</t>
  </si>
  <si>
    <t>native_Storage_Read_2GB_1776682113.csv</t>
  </si>
  <si>
    <t>Storage_Read_KMP_2GB_1776852114.csv</t>
  </si>
  <si>
    <t>Storage_RN_Read_2GB_1778579916.csv</t>
  </si>
  <si>
    <t>native_Storage_Read_2GB_1776694049.csv</t>
  </si>
  <si>
    <t>Storage_Read_KMP_2GB_1776807722.csv</t>
  </si>
  <si>
    <t>Storage_RN_Read_2GB_1777502993.csv</t>
  </si>
  <si>
    <t>native_Storage_Read_2GB_1776765903.csv</t>
  </si>
  <si>
    <t>Storage_Read_KMP_2GB_1776809528.csv</t>
  </si>
  <si>
    <t>Storage_Read_Flutter_2GB_1777208314.csv</t>
  </si>
  <si>
    <t>native_Storage_Read_2GB_1776799921.csv</t>
  </si>
  <si>
    <t>Storage_Read_KMP_2GB_1776848099.csv</t>
  </si>
  <si>
    <t>Storage_Read_Flutter_2GB_1777158664.csv</t>
  </si>
  <si>
    <t>Storage_RN_Read_2GB_1777506995.csv</t>
  </si>
  <si>
    <t>native_Storage_Read_2GB_1776803101.csv</t>
  </si>
  <si>
    <t>Storage_Read_Flutter_2GB_1777195951.csv</t>
  </si>
  <si>
    <t>Storage_RN_Read_2GB_1778580760.csv</t>
  </si>
  <si>
    <t>JSON_Benchmark_Native_RamCached_1776682243.csv</t>
  </si>
  <si>
    <t>JSON_Benchmark_KMP_1776852242.csv</t>
  </si>
  <si>
    <t>JSON_Benchmark_Flutter_RamCached_1777136690.csv</t>
  </si>
  <si>
    <t>JSON_Benchmark_ReactNative_1777501460.csv</t>
  </si>
  <si>
    <t>JSON_Benchmark_Native_RamCached_1776694140.csv</t>
  </si>
  <si>
    <t>JSON_Benchmark_KMP_1776807874.csv</t>
  </si>
  <si>
    <t>JSON_Benchmark_Flutter_RamCached_1777142436.csv</t>
  </si>
  <si>
    <t>JSON_Benchmark_ReactNative_1777503119.csv</t>
  </si>
  <si>
    <t>JSON_Benchmark_Native_RamCached_1776766011.csv</t>
  </si>
  <si>
    <t>JSON_Benchmark_KMP_1776810053.csv</t>
  </si>
  <si>
    <t>JSON_Benchmark_Flutter_RamCached_1777154801.csv</t>
  </si>
  <si>
    <t>JSON_Benchmark_ReactNative_1778580136.csv</t>
  </si>
  <si>
    <t>JSON_Benchmark_Native_RamCached_1776799815.csv</t>
  </si>
  <si>
    <t>JSON_Benchmark_KMP_1776851067.csv</t>
  </si>
  <si>
    <t>JSON_Benchmark_Flutter_RamCached_1777157966.csv</t>
  </si>
  <si>
    <t>JSON_Benchmark_ReactNative_1778581371.csv</t>
  </si>
  <si>
    <t>JSON_Benchmark_Native_RamCached_1776803410.csv</t>
  </si>
  <si>
    <t>JSON_Benchmark_Flutter_RamCached_1777196739.csv</t>
  </si>
  <si>
    <t>Map_Optimized_Tour_Flutter_1778667074.csv</t>
  </si>
  <si>
    <t>Map_RN_Optimized_Tour_1778593825.csv</t>
  </si>
  <si>
    <t>Map_Native_Optimized_Tour_1778583537.csv</t>
  </si>
  <si>
    <t>Map_Optimized_Tour_KMP_1776808016.csv</t>
  </si>
  <si>
    <t>Map_Optimized_Tour_Flutter_1777143097.csv</t>
  </si>
  <si>
    <t>Map_RN_Optimized_Tour_1778618665.csv</t>
  </si>
  <si>
    <t>Map_Native_Optimized_Tour_1778583678.csv</t>
  </si>
  <si>
    <t>Map_Optimized_Tour_KMP_1776810184</t>
  </si>
  <si>
    <t>Map_Optimized_Tour_Flutter_1777155359.csv</t>
  </si>
  <si>
    <t>Map_RN_Optimized_Tour_1777505677.csv</t>
  </si>
  <si>
    <t>Map_Native_Optimized_Tour_1776800484.csv</t>
  </si>
  <si>
    <t>Map_Optimized_Tour_KMP_1776851785.csv</t>
  </si>
  <si>
    <t>Map_Optimized_Tour_Flutter_1777159037.csv</t>
  </si>
  <si>
    <t>Map_RN_Optimized_Tour_1777507271.csv</t>
  </si>
  <si>
    <t>Map_Native_Optimized_Tour_1776803556.csv</t>
  </si>
  <si>
    <t>Map_Optimized_Tour_Flutter_1777196876.csv</t>
  </si>
  <si>
    <t>Ecommerce_Native_Test_1778582332.csv</t>
  </si>
  <si>
    <t>Ecommerce_Fluent_Test_KMP_1776852768.csv</t>
  </si>
  <si>
    <t>Ecommerce_Fluent_Test_Flutter_1777137006.csv</t>
  </si>
  <si>
    <t>Ecommerce_RN_Test_FlashList_1777501772.csv</t>
  </si>
  <si>
    <t>Ecommerce_Native_Test_1776694351.csv</t>
  </si>
  <si>
    <t>Ecommerce_Fluent_Test_KMP_1776808288</t>
  </si>
  <si>
    <t>Ecommerce_Fluent_Test_Flutter_1777143275.csv</t>
  </si>
  <si>
    <t>Ecommerce_RN_Test_FlashList_1777503488.csv</t>
  </si>
  <si>
    <t>Ecommerce_Native_Test_1776766605.csv</t>
  </si>
  <si>
    <t>Ecommerce_Fluent_Test_KMP_1776810353.csv</t>
  </si>
  <si>
    <t>Ecommerce_Fluent_Test_Flutter_1777155610.csv</t>
  </si>
  <si>
    <t>Ecommerce_RN_Test_FlashList_1777505821.csv</t>
  </si>
  <si>
    <t>Ecommerce_Native_Test_1776800624.csv</t>
  </si>
  <si>
    <t>Ecommerce_Fluent_Test_KMP_1776851939.csv</t>
  </si>
  <si>
    <t>Ecommerce_Fluent_Test_Flutter_1777159190.csv</t>
  </si>
  <si>
    <t>Ecommerce_RN_Test_FlashList_1777507417</t>
  </si>
  <si>
    <t>Ecommerce_Native_Test_1776803707.csv</t>
  </si>
  <si>
    <t>Ecommerce_Fluent_Test_Flutter_1777197029.csv</t>
  </si>
  <si>
    <t>Sensor_Native_Stress_100Hz_1778582569.csv</t>
  </si>
  <si>
    <t>Sensor_KMP_Stress_100Hz_1776852892.csv</t>
  </si>
  <si>
    <t>Sensor_Flutter_Stress_100Hz_1777137162.csv</t>
  </si>
  <si>
    <t>Sensor_RN_Stress_100Hz_1777501853.csv</t>
  </si>
  <si>
    <t>Sensor_Native_Stress_100Hz_1776765699.csv</t>
  </si>
  <si>
    <t>Sensor_KMP_Stress_100Hz_1776808373.csv</t>
  </si>
  <si>
    <t>Sensor_Flutter_Stress_100Hz_1777143364.csv</t>
  </si>
  <si>
    <t>Sensor_RN_Stress_100Hz_1777503575.csv</t>
  </si>
  <si>
    <t>Sensor_Native_Stress_100Hz_1776766722.csv</t>
  </si>
  <si>
    <t>Sensor_KMP_Stress_100Hz_1776810505.csv</t>
  </si>
  <si>
    <t>Sensor_Flutter_Stress_100Hz_1777156010.csv</t>
  </si>
  <si>
    <t>Sensor_RN_Stress_100Hz_1777505915.csv</t>
  </si>
  <si>
    <t>Sensor_Native_Stress_100Hz_1776800736.csv</t>
  </si>
  <si>
    <t>Sensor_KMP_Stress_100Hz_1776852028.csv</t>
  </si>
  <si>
    <t>Sensor_Flutter_Stress_100Hz_1777159638.csv</t>
  </si>
  <si>
    <t>Sensor_RN_Stress_100Hz_1777507497.csv</t>
  </si>
  <si>
    <t>Sensor_Native_Stress_100Hz_1776803798.csv</t>
  </si>
  <si>
    <t>Sensor_Flutter_Stress_100Hz_1777197116.csv</t>
  </si>
  <si>
    <t>Storage_RN_Read_2GB_1778580255.csv</t>
  </si>
  <si>
    <t>Map_Native_Optimized_Tour_1778583373.csv</t>
  </si>
  <si>
    <t>Map_Optimized_Tour_KMP_1778697450.csv</t>
  </si>
  <si>
    <t>Map_Optimized_Tour_KMP_1778697704.csv</t>
  </si>
  <si>
    <t>Map_RN_Optimized_Tour_1777721452.csv</t>
  </si>
  <si>
    <t>Audio_RN_Complete_1778704971.csv</t>
  </si>
  <si>
    <t>Storage_Read_Flutter_2GB_1778709162.csv</t>
  </si>
  <si>
    <t>Storage_RN_Write_2GB_1777718469.csv</t>
  </si>
  <si>
    <t>JSON_Benchmark_ReactNative_1777718643.csv</t>
  </si>
  <si>
    <t>Ecommerce_RN_Test_FlashList_1777721597.csv</t>
  </si>
  <si>
    <t>Sensor_RN_Stress_100Hz_1777721947.csv</t>
  </si>
  <si>
    <t>Completion Time</t>
  </si>
  <si>
    <t>Storage_Read_Flutter_2GB_1778799288.csv</t>
  </si>
  <si>
    <t>tstde</t>
  </si>
  <si>
    <t>Average Read Time (s)</t>
  </si>
  <si>
    <t>Average Write Time (s)</t>
  </si>
  <si>
    <t>Average Completion Time (s)</t>
  </si>
  <si>
    <t>Total (s)</t>
  </si>
  <si>
    <t>NATIVE</t>
  </si>
  <si>
    <t>REACT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</si>
</sst>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color rgb="FF000000"/>
      <name val="Times New Roman"/>
      <family val="1"/>
      <charset val="162"/>
    </font>
    <font>
      <sz val="12"/>
      <color rgb="FF242424"/>
      <name val="Times New Roman"/>
      <family val="1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left" vertical="center"/>
    </xf>
    <xf numFmtId="2" fontId="2" fillId="2" borderId="2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left" vertical="center"/>
    </xf>
    <xf numFmtId="2" fontId="3" fillId="3" borderId="9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left" vertical="center"/>
    </xf>
    <xf numFmtId="2" fontId="2" fillId="3" borderId="10" xfId="0" applyNumberFormat="1" applyFont="1" applyFill="1" applyBorder="1" applyAlignment="1">
      <alignment horizontal="center" vertical="center"/>
    </xf>
    <xf numFmtId="2" fontId="1" fillId="3" borderId="25" xfId="0" applyNumberFormat="1" applyFont="1" applyFill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center" vertical="center"/>
    </xf>
    <xf numFmtId="2" fontId="1" fillId="3" borderId="27" xfId="0" applyNumberFormat="1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 applyAlignment="1">
      <alignment horizontal="center" vertical="center"/>
    </xf>
    <xf numFmtId="2" fontId="2" fillId="3" borderId="32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3" borderId="33" xfId="0" applyNumberFormat="1" applyFont="1" applyFill="1" applyBorder="1" applyAlignment="1">
      <alignment horizontal="center" vertical="center" wrapText="1"/>
    </xf>
    <xf numFmtId="2" fontId="2" fillId="3" borderId="28" xfId="0" applyNumberFormat="1" applyFont="1" applyFill="1" applyBorder="1" applyAlignment="1">
      <alignment horizontal="center" vertical="center" wrapText="1"/>
    </xf>
    <xf numFmtId="2" fontId="2" fillId="3" borderId="29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1" fillId="3" borderId="34" xfId="0" applyNumberFormat="1" applyFont="1" applyFill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 vertical="center"/>
    </xf>
    <xf numFmtId="2" fontId="3" fillId="3" borderId="7" xfId="0" applyNumberFormat="1" applyFont="1" applyFill="1" applyBorder="1" applyAlignment="1">
      <alignment horizontal="left" vertical="center"/>
    </xf>
    <xf numFmtId="2" fontId="3" fillId="3" borderId="7" xfId="0" applyNumberFormat="1" applyFont="1" applyFill="1" applyBorder="1" applyAlignment="1">
      <alignment horizontal="center" vertical="center"/>
    </xf>
    <xf numFmtId="2" fontId="4" fillId="3" borderId="9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1" fillId="3" borderId="10" xfId="0" applyNumberFormat="1" applyFont="1" applyFill="1" applyBorder="1" applyAlignment="1">
      <alignment horizontal="center" vertical="center" wrapText="1"/>
    </xf>
    <xf numFmtId="2" fontId="3" fillId="3" borderId="31" xfId="0" applyNumberFormat="1" applyFont="1" applyFill="1" applyBorder="1" applyAlignment="1">
      <alignment horizontal="left" vertical="center"/>
    </xf>
    <xf numFmtId="2" fontId="3" fillId="3" borderId="31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left" vertical="center"/>
    </xf>
    <xf numFmtId="2" fontId="2" fillId="3" borderId="3" xfId="0" applyNumberFormat="1" applyFont="1" applyFill="1" applyBorder="1" applyAlignment="1">
      <alignment horizontal="center" vertical="center"/>
    </xf>
    <xf numFmtId="2" fontId="6" fillId="3" borderId="10" xfId="0" applyNumberFormat="1" applyFont="1" applyFill="1" applyBorder="1" applyAlignment="1">
      <alignment horizontal="left" vertical="center"/>
    </xf>
    <xf numFmtId="2" fontId="2" fillId="2" borderId="4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left" vertical="center"/>
    </xf>
    <xf numFmtId="2" fontId="2" fillId="2" borderId="4" xfId="0" applyNumberFormat="1" applyFont="1" applyFill="1" applyBorder="1" applyAlignment="1">
      <alignment horizontal="left" vertical="center"/>
    </xf>
    <xf numFmtId="2" fontId="4" fillId="3" borderId="2" xfId="0" applyNumberFormat="1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0" fillId="0" borderId="2" xfId="0" applyBorder="1"/>
    <xf numFmtId="2" fontId="2" fillId="0" borderId="0" xfId="0" applyNumberFormat="1" applyFont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2" fontId="0" fillId="0" borderId="2" xfId="0" applyNumberFormat="1" applyBorder="1"/>
    <xf numFmtId="0" fontId="5" fillId="3" borderId="2" xfId="0" applyNumberFormat="1" applyFont="1" applyFill="1" applyBorder="1" applyAlignment="1">
      <alignment horizontal="center" vertical="center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2" fontId="4" fillId="3" borderId="8" xfId="0" applyNumberFormat="1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/>
    </xf>
    <xf numFmtId="2" fontId="2" fillId="2" borderId="18" xfId="0" applyNumberFormat="1" applyFont="1" applyFill="1" applyBorder="1" applyAlignment="1">
      <alignment horizontal="center" vertical="center"/>
    </xf>
    <xf numFmtId="2" fontId="2" fillId="2" borderId="19" xfId="0" applyNumberFormat="1" applyFon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2" borderId="21" xfId="0" applyNumberFormat="1" applyFont="1" applyFill="1" applyBorder="1" applyAlignment="1">
      <alignment horizontal="center" vertical="center"/>
    </xf>
    <xf numFmtId="2" fontId="4" fillId="3" borderId="6" xfId="0" applyNumberFormat="1" applyFont="1" applyFill="1" applyBorder="1" applyAlignment="1">
      <alignment horizontal="center" vertical="center" wrapText="1"/>
    </xf>
    <xf numFmtId="2" fontId="4" fillId="3" borderId="8" xfId="0" applyNumberFormat="1" applyFont="1" applyFill="1" applyBorder="1" applyAlignment="1">
      <alignment horizontal="center" vertical="center" wrapText="1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 applyAlignment="1">
      <alignment horizontal="center" vertical="center"/>
    </xf>
    <xf numFmtId="2" fontId="2" fillId="2" borderId="17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 wrapText="1"/>
    </xf>
    <xf numFmtId="2" fontId="4" fillId="3" borderId="38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2" fontId="2" fillId="2" borderId="23" xfId="0" applyNumberFormat="1" applyFont="1" applyFill="1" applyBorder="1" applyAlignment="1">
      <alignment horizontal="center" vertical="center"/>
    </xf>
    <xf numFmtId="2" fontId="4" fillId="3" borderId="24" xfId="0" applyNumberFormat="1" applyFont="1" applyFill="1" applyBorder="1" applyAlignment="1">
      <alignment horizontal="center" vertical="center" wrapText="1"/>
    </xf>
    <xf numFmtId="2" fontId="4" fillId="3" borderId="26" xfId="0" applyNumberFormat="1" applyFont="1" applyFill="1" applyBorder="1" applyAlignment="1">
      <alignment horizontal="center" vertical="center" wrapText="1"/>
    </xf>
    <xf numFmtId="2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4" fillId="3" borderId="39" xfId="0" applyNumberFormat="1" applyFont="1" applyFill="1" applyBorder="1" applyAlignment="1">
      <alignment horizontal="center" vertical="center"/>
    </xf>
    <xf numFmtId="2" fontId="4" fillId="3" borderId="40" xfId="0" applyNumberFormat="1" applyFont="1" applyFill="1" applyBorder="1" applyAlignment="1">
      <alignment horizontal="center" vertical="center"/>
    </xf>
    <xf numFmtId="2" fontId="3" fillId="3" borderId="41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2" fontId="4" fillId="3" borderId="31" xfId="0" applyNumberFormat="1" applyFont="1" applyFill="1" applyBorder="1" applyAlignment="1">
      <alignment horizontal="center" vertical="center" wrapText="1"/>
    </xf>
    <xf numFmtId="2" fontId="4" fillId="3" borderId="31" xfId="0" applyNumberFormat="1" applyFont="1" applyFill="1" applyBorder="1" applyAlignment="1">
      <alignment horizontal="center" vertical="center"/>
    </xf>
    <xf numFmtId="2" fontId="4" fillId="3" borderId="35" xfId="0" applyNumberFormat="1" applyFont="1" applyFill="1" applyBorder="1" applyAlignment="1">
      <alignment horizontal="center" vertical="center" wrapText="1"/>
    </xf>
    <xf numFmtId="2" fontId="4" fillId="3" borderId="36" xfId="0" applyNumberFormat="1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2" fontId="4" fillId="3" borderId="35" xfId="0" applyNumberFormat="1" applyFont="1" applyFill="1" applyBorder="1" applyAlignment="1">
      <alignment horizontal="center" vertical="center"/>
    </xf>
    <xf numFmtId="2" fontId="4" fillId="3" borderId="36" xfId="0" applyNumberFormat="1" applyFont="1" applyFill="1" applyBorder="1" applyAlignment="1">
      <alignment horizontal="center" vertical="center"/>
    </xf>
    <xf numFmtId="2" fontId="4" fillId="3" borderId="11" xfId="0" applyNumberFormat="1" applyFont="1" applyFill="1" applyBorder="1" applyAlignment="1">
      <alignment horizontal="center" vertical="center"/>
    </xf>
    <xf numFmtId="2" fontId="2" fillId="4" borderId="15" xfId="0" applyNumberFormat="1" applyFont="1" applyFill="1" applyBorder="1" applyAlignment="1">
      <alignment horizontal="center" vertical="center"/>
    </xf>
    <xf numFmtId="2" fontId="2" fillId="4" borderId="16" xfId="0" applyNumberFormat="1" applyFont="1" applyFill="1" applyBorder="1" applyAlignment="1">
      <alignment horizontal="center" vertical="center"/>
    </xf>
    <xf numFmtId="2" fontId="2" fillId="4" borderId="1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2" fillId="4" borderId="21" xfId="0" applyNumberFormat="1" applyFont="1" applyFill="1" applyBorder="1" applyAlignment="1">
      <alignment horizontal="center" vertical="center"/>
    </xf>
    <xf numFmtId="2" fontId="2" fillId="4" borderId="18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abSelected="1" topLeftCell="A25" zoomScaleNormal="100" workbookViewId="0">
      <selection activeCell="Q47" sqref="Q47"/>
    </sheetView>
  </sheetViews>
  <sheetFormatPr defaultColWidth="8.88671875" defaultRowHeight="15.6" x14ac:dyDescent="0.3"/>
  <cols>
    <col min="1" max="1" width="21" style="41" customWidth="1"/>
    <col min="2" max="17" width="8.88671875" style="3"/>
    <col min="18" max="18" width="55.6640625" style="2" customWidth="1"/>
    <col min="19" max="16384" width="8.88671875" style="3"/>
  </cols>
  <sheetData>
    <row r="1" spans="1:27" s="1" customFormat="1" ht="16.2" thickBot="1" x14ac:dyDescent="0.35">
      <c r="A1" s="35"/>
      <c r="R1" s="2"/>
      <c r="S1" s="3"/>
      <c r="T1" s="3"/>
      <c r="U1" s="3"/>
      <c r="V1" s="3"/>
    </row>
    <row r="2" spans="1:27" s="6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4"/>
      <c r="S2" s="5"/>
      <c r="T2" s="5"/>
      <c r="U2" s="5"/>
      <c r="V2" s="5"/>
    </row>
    <row r="3" spans="1:27" s="6" customFormat="1" x14ac:dyDescent="0.3">
      <c r="A3" s="72"/>
      <c r="B3" s="7" t="s">
        <v>4</v>
      </c>
      <c r="C3" s="7" t="s">
        <v>5</v>
      </c>
      <c r="D3" s="7" t="s">
        <v>6</v>
      </c>
      <c r="E3" s="7" t="s">
        <v>7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4</v>
      </c>
      <c r="K3" s="7" t="s">
        <v>5</v>
      </c>
      <c r="L3" s="7" t="s">
        <v>6</v>
      </c>
      <c r="M3" s="7" t="s">
        <v>7</v>
      </c>
      <c r="N3" s="7" t="s">
        <v>4</v>
      </c>
      <c r="O3" s="7" t="s">
        <v>5</v>
      </c>
      <c r="P3" s="7" t="s">
        <v>6</v>
      </c>
      <c r="Q3" s="7" t="s">
        <v>7</v>
      </c>
      <c r="R3" s="4"/>
      <c r="S3" s="5"/>
      <c r="T3" s="5"/>
      <c r="U3" s="5"/>
      <c r="V3" s="5"/>
    </row>
    <row r="4" spans="1:27" s="9" customFormat="1" x14ac:dyDescent="0.3">
      <c r="A4" s="64" t="s">
        <v>171</v>
      </c>
      <c r="B4" s="59">
        <v>70.06</v>
      </c>
      <c r="C4" s="9">
        <v>4.43</v>
      </c>
      <c r="D4" s="9">
        <v>28.7</v>
      </c>
      <c r="E4" s="9">
        <v>83.1</v>
      </c>
      <c r="F4" s="9">
        <v>208.08</v>
      </c>
      <c r="G4" s="9">
        <v>75.010000000000005</v>
      </c>
      <c r="H4" s="9">
        <v>82.48</v>
      </c>
      <c r="I4" s="9">
        <v>339.46</v>
      </c>
      <c r="J4" s="9">
        <v>125.12</v>
      </c>
      <c r="K4" s="9">
        <v>75.010000000000005</v>
      </c>
      <c r="L4" s="9">
        <v>0</v>
      </c>
      <c r="M4" s="9">
        <v>256.49</v>
      </c>
      <c r="N4" s="9">
        <v>59.99</v>
      </c>
      <c r="O4" s="9">
        <v>0.12</v>
      </c>
      <c r="P4" s="9">
        <v>58</v>
      </c>
      <c r="Q4" s="9">
        <v>60</v>
      </c>
      <c r="R4" s="10" t="s">
        <v>8</v>
      </c>
    </row>
    <row r="5" spans="1:27" s="9" customFormat="1" x14ac:dyDescent="0.3">
      <c r="A5" s="64" t="s">
        <v>9</v>
      </c>
      <c r="B5" s="9">
        <v>67.73</v>
      </c>
      <c r="C5" s="9">
        <v>5.56</v>
      </c>
      <c r="D5" s="9">
        <v>27.8</v>
      </c>
      <c r="E5" s="9">
        <v>83</v>
      </c>
      <c r="F5" s="9">
        <v>206.9</v>
      </c>
      <c r="G5" s="9">
        <v>75.209999999999994</v>
      </c>
      <c r="H5" s="9">
        <v>79.12</v>
      </c>
      <c r="I5" s="9">
        <v>337.94</v>
      </c>
      <c r="J5" s="9">
        <v>151.33000000000001</v>
      </c>
      <c r="K5" s="9">
        <v>75.209999999999994</v>
      </c>
      <c r="L5" s="9">
        <v>23.55</v>
      </c>
      <c r="M5" s="9">
        <v>282.37</v>
      </c>
      <c r="N5" s="9">
        <v>60</v>
      </c>
      <c r="O5" s="9">
        <v>7.0000000000000007E-2</v>
      </c>
      <c r="P5" s="9">
        <v>59</v>
      </c>
      <c r="Q5" s="9">
        <v>60</v>
      </c>
      <c r="R5" s="10" t="s">
        <v>10</v>
      </c>
    </row>
    <row r="6" spans="1:27" s="9" customFormat="1" x14ac:dyDescent="0.3">
      <c r="A6" s="64" t="s">
        <v>11</v>
      </c>
      <c r="B6" s="9">
        <v>98.39</v>
      </c>
      <c r="C6" s="9">
        <v>8.39</v>
      </c>
      <c r="D6" s="9">
        <v>44.8</v>
      </c>
      <c r="E6" s="9">
        <v>144.80000000000001</v>
      </c>
      <c r="F6" s="59">
        <v>335.03</v>
      </c>
      <c r="G6" s="59">
        <v>77.05</v>
      </c>
      <c r="H6" s="59">
        <v>212.7</v>
      </c>
      <c r="I6" s="59">
        <v>475.3</v>
      </c>
      <c r="J6" s="59">
        <v>139.22999999999999</v>
      </c>
      <c r="K6" s="59">
        <v>77.05</v>
      </c>
      <c r="L6" s="59">
        <v>16.899999999999999</v>
      </c>
      <c r="M6" s="59">
        <v>279.5</v>
      </c>
      <c r="N6" s="59">
        <v>59.98</v>
      </c>
      <c r="O6" s="59">
        <v>0.13</v>
      </c>
      <c r="P6" s="59">
        <v>59</v>
      </c>
      <c r="Q6" s="59">
        <v>60</v>
      </c>
      <c r="R6" s="10" t="s">
        <v>12</v>
      </c>
    </row>
    <row r="7" spans="1:27" s="14" customFormat="1" ht="16.2" thickBot="1" x14ac:dyDescent="0.35">
      <c r="A7" s="40" t="s">
        <v>172</v>
      </c>
      <c r="B7" s="12">
        <v>94.14</v>
      </c>
      <c r="C7" s="12">
        <v>9.2899999999999991</v>
      </c>
      <c r="D7" s="12">
        <v>39.6</v>
      </c>
      <c r="E7" s="12">
        <v>106.9</v>
      </c>
      <c r="F7" s="12">
        <v>152.77000000000001</v>
      </c>
      <c r="G7" s="12">
        <v>3.01</v>
      </c>
      <c r="H7" s="12">
        <v>135.77000000000001</v>
      </c>
      <c r="I7" s="12">
        <v>157.02000000000001</v>
      </c>
      <c r="J7" s="12">
        <v>103.16</v>
      </c>
      <c r="K7" s="12">
        <v>3.01</v>
      </c>
      <c r="L7" s="12">
        <v>86.15</v>
      </c>
      <c r="M7" s="12">
        <v>107.41</v>
      </c>
      <c r="N7" s="12">
        <v>59.95</v>
      </c>
      <c r="O7" s="12">
        <v>0.25</v>
      </c>
      <c r="P7" s="12">
        <v>58</v>
      </c>
      <c r="Q7" s="12">
        <v>61</v>
      </c>
      <c r="R7" s="13" t="s">
        <v>13</v>
      </c>
      <c r="S7" s="12"/>
      <c r="T7" s="12"/>
      <c r="U7" s="12"/>
      <c r="V7" s="12"/>
      <c r="W7" s="12"/>
      <c r="X7" s="12"/>
      <c r="Y7" s="12"/>
      <c r="Z7" s="12"/>
      <c r="AA7" s="12"/>
    </row>
    <row r="8" spans="1:27" s="70" customFormat="1" ht="16.2" thickBot="1" x14ac:dyDescent="0.35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9"/>
    </row>
    <row r="9" spans="1:27" s="6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15"/>
      <c r="S9" s="16"/>
    </row>
    <row r="10" spans="1:27" s="6" customFormat="1" x14ac:dyDescent="0.3">
      <c r="A10" s="72"/>
      <c r="B10" s="7" t="s">
        <v>4</v>
      </c>
      <c r="C10" s="7" t="s">
        <v>5</v>
      </c>
      <c r="D10" s="7" t="s">
        <v>6</v>
      </c>
      <c r="E10" s="7" t="s">
        <v>7</v>
      </c>
      <c r="F10" s="7" t="s">
        <v>4</v>
      </c>
      <c r="G10" s="7" t="s">
        <v>5</v>
      </c>
      <c r="H10" s="7" t="s">
        <v>6</v>
      </c>
      <c r="I10" s="7" t="s">
        <v>7</v>
      </c>
      <c r="J10" s="7" t="s">
        <v>4</v>
      </c>
      <c r="K10" s="7" t="s">
        <v>5</v>
      </c>
      <c r="L10" s="7" t="s">
        <v>6</v>
      </c>
      <c r="M10" s="7" t="s">
        <v>7</v>
      </c>
      <c r="N10" s="7" t="s">
        <v>4</v>
      </c>
      <c r="O10" s="7" t="s">
        <v>5</v>
      </c>
      <c r="P10" s="7" t="s">
        <v>6</v>
      </c>
      <c r="Q10" s="7" t="s">
        <v>7</v>
      </c>
      <c r="R10" s="17"/>
      <c r="S10" s="16"/>
    </row>
    <row r="11" spans="1:27" s="9" customFormat="1" x14ac:dyDescent="0.3">
      <c r="A11" s="64" t="s">
        <v>171</v>
      </c>
      <c r="B11" s="9">
        <v>69.959999999999994</v>
      </c>
      <c r="C11" s="9">
        <v>3.85</v>
      </c>
      <c r="D11" s="9">
        <v>44.7</v>
      </c>
      <c r="E11" s="9">
        <v>82.5</v>
      </c>
      <c r="F11" s="59">
        <v>210.57</v>
      </c>
      <c r="G11" s="59">
        <v>75.16</v>
      </c>
      <c r="H11" s="59">
        <v>83.13</v>
      </c>
      <c r="I11" s="59">
        <v>340.63</v>
      </c>
      <c r="J11" s="59">
        <v>132.13999999999999</v>
      </c>
      <c r="K11" s="59">
        <v>75.16</v>
      </c>
      <c r="L11" s="59">
        <v>4.7</v>
      </c>
      <c r="M11" s="59">
        <v>262.20999999999998</v>
      </c>
      <c r="N11" s="59">
        <v>60</v>
      </c>
      <c r="O11" s="59">
        <v>7.0000000000000007E-2</v>
      </c>
      <c r="P11" s="59">
        <v>59</v>
      </c>
      <c r="Q11" s="59">
        <v>60</v>
      </c>
      <c r="R11" s="10" t="s">
        <v>14</v>
      </c>
    </row>
    <row r="12" spans="1:27" s="9" customFormat="1" x14ac:dyDescent="0.3">
      <c r="A12" s="64" t="s">
        <v>9</v>
      </c>
      <c r="B12" s="9">
        <v>68.540000000000006</v>
      </c>
      <c r="C12" s="9">
        <v>6.57</v>
      </c>
      <c r="D12" s="9">
        <v>28.6</v>
      </c>
      <c r="E12" s="9">
        <v>85.2</v>
      </c>
      <c r="F12" s="59">
        <v>208.95</v>
      </c>
      <c r="G12" s="59">
        <v>75.06</v>
      </c>
      <c r="H12" s="59">
        <v>78.489999999999995</v>
      </c>
      <c r="I12" s="59">
        <v>340.63</v>
      </c>
      <c r="J12" s="59">
        <v>132.03</v>
      </c>
      <c r="K12" s="59">
        <v>75.06</v>
      </c>
      <c r="L12" s="59">
        <v>1.57</v>
      </c>
      <c r="M12" s="59">
        <v>263.72000000000003</v>
      </c>
      <c r="N12" s="59">
        <v>59.99</v>
      </c>
      <c r="O12" s="59">
        <v>0.1</v>
      </c>
      <c r="P12" s="59">
        <v>59</v>
      </c>
      <c r="Q12" s="59">
        <v>60</v>
      </c>
      <c r="R12" s="10" t="s">
        <v>15</v>
      </c>
    </row>
    <row r="13" spans="1:27" s="9" customFormat="1" x14ac:dyDescent="0.3">
      <c r="A13" s="64" t="s">
        <v>11</v>
      </c>
      <c r="B13" s="9">
        <v>100.79</v>
      </c>
      <c r="C13" s="9">
        <v>6.6</v>
      </c>
      <c r="D13" s="9">
        <v>45.5</v>
      </c>
      <c r="E13" s="9">
        <v>153.69999999999999</v>
      </c>
      <c r="F13" s="59">
        <v>317.39999999999998</v>
      </c>
      <c r="G13" s="59">
        <v>76.989999999999995</v>
      </c>
      <c r="H13" s="59">
        <v>195.5</v>
      </c>
      <c r="I13" s="59">
        <v>462.6</v>
      </c>
      <c r="J13" s="59">
        <v>134.4</v>
      </c>
      <c r="K13" s="59">
        <v>76.989999999999995</v>
      </c>
      <c r="L13" s="59">
        <v>12.5</v>
      </c>
      <c r="M13" s="59">
        <v>279.60000000000002</v>
      </c>
      <c r="N13" s="59">
        <v>60</v>
      </c>
      <c r="O13" s="59">
        <v>7.0000000000000007E-2</v>
      </c>
      <c r="P13" s="59">
        <v>59</v>
      </c>
      <c r="Q13" s="59">
        <v>60</v>
      </c>
      <c r="R13" s="10" t="s">
        <v>16</v>
      </c>
    </row>
    <row r="14" spans="1:27" s="14" customFormat="1" ht="16.2" thickBot="1" x14ac:dyDescent="0.35">
      <c r="A14" s="40" t="s">
        <v>172</v>
      </c>
      <c r="B14" s="12">
        <v>95.81</v>
      </c>
      <c r="C14" s="12">
        <v>8.0500000000000007</v>
      </c>
      <c r="D14" s="12">
        <v>39</v>
      </c>
      <c r="E14" s="12">
        <v>110</v>
      </c>
      <c r="F14" s="12">
        <v>149.1</v>
      </c>
      <c r="G14" s="12">
        <v>4.99</v>
      </c>
      <c r="H14" s="12">
        <v>136.63</v>
      </c>
      <c r="I14" s="12">
        <v>159.05000000000001</v>
      </c>
      <c r="J14" s="12">
        <v>68.150000000000006</v>
      </c>
      <c r="K14" s="12">
        <v>4.99</v>
      </c>
      <c r="L14" s="12">
        <v>55.68</v>
      </c>
      <c r="M14" s="12">
        <v>78.099999999999994</v>
      </c>
      <c r="N14" s="12">
        <v>59.97</v>
      </c>
      <c r="O14" s="12">
        <v>0.23</v>
      </c>
      <c r="P14" s="12">
        <v>58</v>
      </c>
      <c r="Q14" s="12">
        <v>61</v>
      </c>
      <c r="R14" s="13" t="s">
        <v>17</v>
      </c>
      <c r="S14" s="12"/>
      <c r="T14" s="12"/>
      <c r="U14" s="12"/>
      <c r="V14" s="12"/>
      <c r="W14" s="12"/>
      <c r="X14" s="12"/>
      <c r="Y14" s="12"/>
      <c r="Z14" s="12"/>
      <c r="AA14" s="12"/>
    </row>
    <row r="15" spans="1:27" s="70" customFormat="1" ht="16.2" thickBot="1" x14ac:dyDescent="0.35">
      <c r="A15" s="83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5"/>
    </row>
    <row r="16" spans="1:27" s="6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15"/>
      <c r="S16" s="16"/>
    </row>
    <row r="17" spans="1:27" s="6" customFormat="1" x14ac:dyDescent="0.3">
      <c r="A17" s="72"/>
      <c r="B17" s="7" t="s">
        <v>4</v>
      </c>
      <c r="C17" s="7" t="s">
        <v>5</v>
      </c>
      <c r="D17" s="7" t="s">
        <v>6</v>
      </c>
      <c r="E17" s="7" t="s">
        <v>7</v>
      </c>
      <c r="F17" s="7" t="s">
        <v>4</v>
      </c>
      <c r="G17" s="7" t="s">
        <v>5</v>
      </c>
      <c r="H17" s="7" t="s">
        <v>6</v>
      </c>
      <c r="I17" s="7" t="s">
        <v>7</v>
      </c>
      <c r="J17" s="7" t="s">
        <v>4</v>
      </c>
      <c r="K17" s="7" t="s">
        <v>5</v>
      </c>
      <c r="L17" s="7" t="s">
        <v>6</v>
      </c>
      <c r="M17" s="7" t="s">
        <v>7</v>
      </c>
      <c r="N17" s="7" t="s">
        <v>4</v>
      </c>
      <c r="O17" s="7" t="s">
        <v>5</v>
      </c>
      <c r="P17" s="7" t="s">
        <v>6</v>
      </c>
      <c r="Q17" s="7" t="s">
        <v>7</v>
      </c>
      <c r="R17" s="17"/>
      <c r="S17" s="16"/>
    </row>
    <row r="18" spans="1:27" s="9" customFormat="1" x14ac:dyDescent="0.3">
      <c r="A18" s="64" t="s">
        <v>171</v>
      </c>
      <c r="B18" s="59">
        <v>69.91</v>
      </c>
      <c r="C18" s="59">
        <v>3.91</v>
      </c>
      <c r="D18" s="59">
        <v>41.6</v>
      </c>
      <c r="E18" s="59">
        <v>82.7</v>
      </c>
      <c r="F18" s="59">
        <v>211.84</v>
      </c>
      <c r="G18" s="59">
        <v>75.069999999999993</v>
      </c>
      <c r="H18" s="59">
        <v>83.39</v>
      </c>
      <c r="I18" s="59">
        <v>345.97</v>
      </c>
      <c r="J18" s="59">
        <v>132.25</v>
      </c>
      <c r="K18" s="59">
        <v>75.069999999999993</v>
      </c>
      <c r="L18" s="59">
        <v>3.79</v>
      </c>
      <c r="M18" s="59">
        <v>266.37</v>
      </c>
      <c r="N18" s="59">
        <v>60</v>
      </c>
      <c r="O18" s="59">
        <v>0.06</v>
      </c>
      <c r="P18" s="59">
        <v>59</v>
      </c>
      <c r="Q18" s="59">
        <v>60</v>
      </c>
      <c r="R18" s="10" t="s">
        <v>18</v>
      </c>
    </row>
    <row r="19" spans="1:27" s="9" customFormat="1" x14ac:dyDescent="0.3">
      <c r="A19" s="64" t="s">
        <v>9</v>
      </c>
      <c r="B19" s="9">
        <v>67.53</v>
      </c>
      <c r="C19" s="9">
        <v>7.84</v>
      </c>
      <c r="D19" s="9">
        <v>29.7</v>
      </c>
      <c r="E19" s="9">
        <v>88.6</v>
      </c>
      <c r="F19" s="9">
        <v>200.86</v>
      </c>
      <c r="G19" s="9">
        <v>75.95</v>
      </c>
      <c r="H19" s="9">
        <v>70.02</v>
      </c>
      <c r="I19" s="9">
        <v>338.47</v>
      </c>
      <c r="J19" s="9">
        <v>128.76</v>
      </c>
      <c r="K19" s="9">
        <v>75.94</v>
      </c>
      <c r="L19" s="9">
        <v>0</v>
      </c>
      <c r="M19" s="9">
        <v>266.37</v>
      </c>
      <c r="N19" s="9">
        <v>59.98</v>
      </c>
      <c r="O19" s="9">
        <v>0.16</v>
      </c>
      <c r="P19" s="9">
        <v>57</v>
      </c>
      <c r="Q19" s="9">
        <v>60</v>
      </c>
      <c r="R19" s="10" t="s">
        <v>19</v>
      </c>
    </row>
    <row r="20" spans="1:27" s="9" customFormat="1" x14ac:dyDescent="0.3">
      <c r="A20" s="64" t="s">
        <v>11</v>
      </c>
      <c r="B20" s="9">
        <v>98.36</v>
      </c>
      <c r="C20" s="9">
        <v>7.28</v>
      </c>
      <c r="D20" s="9">
        <v>46.9</v>
      </c>
      <c r="E20" s="9">
        <v>156.80000000000001</v>
      </c>
      <c r="F20" s="9">
        <v>333.8</v>
      </c>
      <c r="G20" s="9">
        <v>77.34</v>
      </c>
      <c r="H20" s="9">
        <v>203.7</v>
      </c>
      <c r="I20" s="9">
        <v>474.4</v>
      </c>
      <c r="J20" s="9">
        <v>135.9</v>
      </c>
      <c r="K20" s="9">
        <v>77.34</v>
      </c>
      <c r="L20" s="9">
        <v>5.8</v>
      </c>
      <c r="M20" s="9">
        <v>276.5</v>
      </c>
      <c r="N20" s="9">
        <v>60</v>
      </c>
      <c r="O20" s="9">
        <v>7.0000000000000007E-2</v>
      </c>
      <c r="P20" s="9">
        <v>59</v>
      </c>
      <c r="Q20" s="9">
        <v>60</v>
      </c>
      <c r="R20" s="10" t="s">
        <v>20</v>
      </c>
    </row>
    <row r="21" spans="1:27" s="14" customFormat="1" ht="16.2" thickBot="1" x14ac:dyDescent="0.35">
      <c r="A21" s="40" t="s">
        <v>172</v>
      </c>
      <c r="B21" s="12">
        <v>96.67</v>
      </c>
      <c r="C21" s="12">
        <v>7.52</v>
      </c>
      <c r="D21" s="12">
        <v>49.7</v>
      </c>
      <c r="E21" s="12">
        <v>111.6</v>
      </c>
      <c r="F21" s="12">
        <v>147.82</v>
      </c>
      <c r="G21" s="12">
        <v>5.07</v>
      </c>
      <c r="H21" s="12">
        <v>132.30000000000001</v>
      </c>
      <c r="I21" s="12">
        <v>157.81</v>
      </c>
      <c r="J21" s="12">
        <v>87.86</v>
      </c>
      <c r="K21" s="12">
        <v>5.07</v>
      </c>
      <c r="L21" s="12">
        <v>72.34</v>
      </c>
      <c r="M21" s="12">
        <v>97.85</v>
      </c>
      <c r="N21" s="12">
        <v>59.96</v>
      </c>
      <c r="O21" s="12">
        <v>0.21</v>
      </c>
      <c r="P21" s="12">
        <v>59</v>
      </c>
      <c r="Q21" s="12">
        <v>61</v>
      </c>
      <c r="R21" s="13" t="s">
        <v>21</v>
      </c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76" customFormat="1" ht="16.2" thickBot="1" x14ac:dyDescent="0.3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</row>
    <row r="23" spans="1:27" s="6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15"/>
      <c r="S23" s="16"/>
    </row>
    <row r="24" spans="1:27" s="6" customFormat="1" x14ac:dyDescent="0.3">
      <c r="A24" s="82"/>
      <c r="B24" s="7" t="s">
        <v>4</v>
      </c>
      <c r="C24" s="7" t="s">
        <v>5</v>
      </c>
      <c r="D24" s="7" t="s">
        <v>6</v>
      </c>
      <c r="E24" s="7" t="s">
        <v>7</v>
      </c>
      <c r="F24" s="7" t="s">
        <v>4</v>
      </c>
      <c r="G24" s="7" t="s">
        <v>5</v>
      </c>
      <c r="H24" s="7" t="s">
        <v>6</v>
      </c>
      <c r="I24" s="7" t="s">
        <v>7</v>
      </c>
      <c r="J24" s="7" t="s">
        <v>4</v>
      </c>
      <c r="K24" s="7" t="s">
        <v>5</v>
      </c>
      <c r="L24" s="7" t="s">
        <v>6</v>
      </c>
      <c r="M24" s="7" t="s">
        <v>7</v>
      </c>
      <c r="N24" s="7" t="s">
        <v>4</v>
      </c>
      <c r="O24" s="7" t="s">
        <v>5</v>
      </c>
      <c r="P24" s="7" t="s">
        <v>6</v>
      </c>
      <c r="Q24" s="7" t="s">
        <v>7</v>
      </c>
      <c r="R24" s="17"/>
      <c r="S24" s="16"/>
    </row>
    <row r="25" spans="1:27" s="9" customFormat="1" x14ac:dyDescent="0.3">
      <c r="A25" s="64" t="s">
        <v>171</v>
      </c>
      <c r="B25" s="9">
        <v>70.3</v>
      </c>
      <c r="C25" s="9">
        <v>3.67</v>
      </c>
      <c r="D25" s="9">
        <v>44.7</v>
      </c>
      <c r="E25" s="9">
        <v>79.099999999999994</v>
      </c>
      <c r="F25" s="9">
        <v>210.73</v>
      </c>
      <c r="G25" s="9">
        <v>75.17</v>
      </c>
      <c r="H25" s="9">
        <v>82.42</v>
      </c>
      <c r="I25" s="9">
        <v>341.73</v>
      </c>
      <c r="J25" s="9">
        <v>133.68</v>
      </c>
      <c r="K25" s="9">
        <v>75.17</v>
      </c>
      <c r="L25" s="9">
        <v>5.37</v>
      </c>
      <c r="M25" s="9">
        <v>264.68</v>
      </c>
      <c r="N25" s="9">
        <v>60</v>
      </c>
      <c r="O25" s="9">
        <v>7.0000000000000007E-2</v>
      </c>
      <c r="P25" s="9">
        <v>59</v>
      </c>
      <c r="Q25" s="9">
        <v>60</v>
      </c>
      <c r="R25" s="10" t="s">
        <v>22</v>
      </c>
    </row>
    <row r="26" spans="1:27" s="9" customFormat="1" x14ac:dyDescent="0.3">
      <c r="A26" s="64" t="s">
        <v>9</v>
      </c>
      <c r="B26" s="9">
        <v>68.16</v>
      </c>
      <c r="C26" s="9">
        <v>5.21</v>
      </c>
      <c r="D26" s="9">
        <v>36.6</v>
      </c>
      <c r="E26" s="9">
        <v>81.3</v>
      </c>
      <c r="F26" s="9">
        <v>206.89</v>
      </c>
      <c r="G26" s="9">
        <v>74.989999999999995</v>
      </c>
      <c r="H26" s="9">
        <v>79.59</v>
      </c>
      <c r="I26" s="9">
        <v>340.57</v>
      </c>
      <c r="J26" s="9">
        <v>161.30000000000001</v>
      </c>
      <c r="K26" s="9">
        <v>74.989999999999995</v>
      </c>
      <c r="L26" s="9">
        <v>34.01</v>
      </c>
      <c r="M26" s="9">
        <v>294.98</v>
      </c>
      <c r="N26" s="9">
        <v>59.99</v>
      </c>
      <c r="O26" s="9">
        <v>0.09</v>
      </c>
      <c r="P26" s="9">
        <v>59</v>
      </c>
      <c r="Q26" s="9">
        <v>60</v>
      </c>
      <c r="R26" s="10" t="s">
        <v>23</v>
      </c>
    </row>
    <row r="27" spans="1:27" s="9" customFormat="1" x14ac:dyDescent="0.3">
      <c r="A27" s="64" t="s">
        <v>11</v>
      </c>
      <c r="B27" s="9">
        <v>97.85</v>
      </c>
      <c r="C27" s="9">
        <v>8.14</v>
      </c>
      <c r="D27" s="9">
        <v>46.2</v>
      </c>
      <c r="E27" s="9">
        <v>153.19999999999999</v>
      </c>
      <c r="F27" s="9">
        <v>326.93</v>
      </c>
      <c r="G27" s="9">
        <v>76.62</v>
      </c>
      <c r="H27" s="9">
        <v>199.3</v>
      </c>
      <c r="I27" s="9">
        <v>470.1</v>
      </c>
      <c r="J27" s="9">
        <v>130.93</v>
      </c>
      <c r="K27" s="9">
        <v>76.62</v>
      </c>
      <c r="L27" s="9">
        <v>3.3</v>
      </c>
      <c r="M27" s="9">
        <v>274.10000000000002</v>
      </c>
      <c r="N27" s="9">
        <v>59.99</v>
      </c>
      <c r="O27" s="9">
        <v>0.11</v>
      </c>
      <c r="P27" s="9">
        <v>59</v>
      </c>
      <c r="Q27" s="9">
        <v>60</v>
      </c>
      <c r="R27" s="10" t="s">
        <v>24</v>
      </c>
    </row>
    <row r="28" spans="1:27" s="9" customFormat="1" ht="16.2" thickBot="1" x14ac:dyDescent="0.35">
      <c r="A28" s="40" t="s">
        <v>172</v>
      </c>
      <c r="B28" s="19">
        <v>95.52</v>
      </c>
      <c r="C28" s="19">
        <v>8.76</v>
      </c>
      <c r="D28" s="19">
        <v>41.6</v>
      </c>
      <c r="E28" s="19">
        <v>108.7</v>
      </c>
      <c r="F28" s="19">
        <v>150.61000000000001</v>
      </c>
      <c r="G28" s="19">
        <v>4.8</v>
      </c>
      <c r="H28" s="19">
        <v>137.22</v>
      </c>
      <c r="I28" s="19">
        <v>160.78</v>
      </c>
      <c r="J28" s="19">
        <v>67.14</v>
      </c>
      <c r="K28" s="19">
        <v>4.8</v>
      </c>
      <c r="L28" s="19">
        <v>53.75</v>
      </c>
      <c r="M28" s="19">
        <v>77.31</v>
      </c>
      <c r="N28" s="19">
        <v>59.96</v>
      </c>
      <c r="O28" s="19">
        <v>0.25</v>
      </c>
      <c r="P28" s="19">
        <v>58</v>
      </c>
      <c r="Q28" s="19">
        <v>61</v>
      </c>
      <c r="R28" s="10" t="s">
        <v>25</v>
      </c>
      <c r="S28" s="19"/>
      <c r="T28" s="19"/>
      <c r="U28" s="19"/>
      <c r="V28" s="19"/>
      <c r="W28" s="19"/>
      <c r="X28" s="19"/>
      <c r="Y28" s="19"/>
      <c r="Z28" s="19"/>
      <c r="AA28" s="19"/>
    </row>
    <row r="29" spans="1:27" s="80" customFormat="1" ht="16.2" thickBot="1" x14ac:dyDescent="0.35">
      <c r="A29" s="77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</row>
    <row r="30" spans="1:27" s="6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15"/>
      <c r="S30" s="16"/>
    </row>
    <row r="31" spans="1:27" s="6" customFormat="1" x14ac:dyDescent="0.3">
      <c r="A31" s="72"/>
      <c r="B31" s="7" t="s">
        <v>4</v>
      </c>
      <c r="C31" s="7" t="s">
        <v>5</v>
      </c>
      <c r="D31" s="7" t="s">
        <v>6</v>
      </c>
      <c r="E31" s="7" t="s">
        <v>7</v>
      </c>
      <c r="F31" s="7" t="s">
        <v>4</v>
      </c>
      <c r="G31" s="7" t="s">
        <v>5</v>
      </c>
      <c r="H31" s="7" t="s">
        <v>6</v>
      </c>
      <c r="I31" s="7" t="s">
        <v>7</v>
      </c>
      <c r="J31" s="7" t="s">
        <v>4</v>
      </c>
      <c r="K31" s="7" t="s">
        <v>5</v>
      </c>
      <c r="L31" s="7" t="s">
        <v>6</v>
      </c>
      <c r="M31" s="7" t="s">
        <v>7</v>
      </c>
      <c r="N31" s="7" t="s">
        <v>4</v>
      </c>
      <c r="O31" s="7" t="s">
        <v>5</v>
      </c>
      <c r="P31" s="7" t="s">
        <v>6</v>
      </c>
      <c r="Q31" s="7" t="s">
        <v>7</v>
      </c>
      <c r="R31" s="17"/>
      <c r="S31" s="16"/>
    </row>
    <row r="32" spans="1:27" s="9" customFormat="1" x14ac:dyDescent="0.3">
      <c r="A32" s="64" t="s">
        <v>171</v>
      </c>
      <c r="B32" s="19">
        <v>69.41</v>
      </c>
      <c r="C32" s="19">
        <v>4.8600000000000003</v>
      </c>
      <c r="D32" s="19">
        <v>34.200000000000003</v>
      </c>
      <c r="E32" s="19">
        <v>79.900000000000006</v>
      </c>
      <c r="F32" s="19">
        <v>209.68</v>
      </c>
      <c r="G32" s="19">
        <v>75.010000000000005</v>
      </c>
      <c r="H32" s="19">
        <v>79.010000000000005</v>
      </c>
      <c r="I32" s="19">
        <v>340.02</v>
      </c>
      <c r="J32" s="19">
        <v>134.06</v>
      </c>
      <c r="K32" s="19">
        <v>75.010000000000005</v>
      </c>
      <c r="L32" s="19">
        <v>3.39</v>
      </c>
      <c r="M32" s="19">
        <v>264.39999999999998</v>
      </c>
      <c r="N32" s="19">
        <v>60</v>
      </c>
      <c r="O32" s="19">
        <v>0.04</v>
      </c>
      <c r="P32" s="19">
        <v>59</v>
      </c>
      <c r="Q32" s="19">
        <v>60</v>
      </c>
      <c r="R32" s="10" t="s">
        <v>26</v>
      </c>
      <c r="S32" s="19"/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66.2</v>
      </c>
      <c r="C33" s="19">
        <v>7.3</v>
      </c>
      <c r="D33" s="19">
        <v>27.3</v>
      </c>
      <c r="E33" s="19">
        <v>86.2</v>
      </c>
      <c r="F33" s="19">
        <v>207.27</v>
      </c>
      <c r="G33" s="19">
        <v>75.650000000000006</v>
      </c>
      <c r="H33" s="19">
        <v>80.69</v>
      </c>
      <c r="I33" s="19">
        <v>342.11</v>
      </c>
      <c r="J33" s="19">
        <v>161.09</v>
      </c>
      <c r="K33" s="19">
        <v>75.650000000000006</v>
      </c>
      <c r="L33" s="19">
        <v>34.51</v>
      </c>
      <c r="M33" s="19">
        <v>295.93</v>
      </c>
      <c r="N33" s="19">
        <v>59.99</v>
      </c>
      <c r="O33" s="19">
        <v>0.11</v>
      </c>
      <c r="P33" s="19">
        <v>59</v>
      </c>
      <c r="Q33" s="19">
        <v>60</v>
      </c>
      <c r="R33" s="10" t="s">
        <v>27</v>
      </c>
      <c r="S33" s="19"/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98.65</v>
      </c>
      <c r="C34" s="19">
        <v>7.88</v>
      </c>
      <c r="D34" s="19">
        <v>44.4</v>
      </c>
      <c r="E34" s="19">
        <v>163.1</v>
      </c>
      <c r="F34" s="19">
        <v>321.08999999999997</v>
      </c>
      <c r="G34" s="19">
        <v>77.48</v>
      </c>
      <c r="H34" s="19">
        <v>192.8</v>
      </c>
      <c r="I34" s="19">
        <v>462.4</v>
      </c>
      <c r="J34" s="19">
        <v>125.91</v>
      </c>
      <c r="K34" s="19">
        <v>77.45</v>
      </c>
      <c r="L34" s="19">
        <v>0</v>
      </c>
      <c r="M34" s="19">
        <v>267.2</v>
      </c>
      <c r="N34" s="19">
        <v>59.99</v>
      </c>
      <c r="O34" s="19">
        <v>0.09</v>
      </c>
      <c r="P34" s="19">
        <v>59</v>
      </c>
      <c r="Q34" s="19">
        <v>60</v>
      </c>
      <c r="R34" s="10" t="s">
        <v>28</v>
      </c>
      <c r="S34" s="19"/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4">
        <v>95.29</v>
      </c>
      <c r="C35" s="14">
        <v>9.18</v>
      </c>
      <c r="D35" s="14">
        <v>39.700000000000003</v>
      </c>
      <c r="E35" s="14">
        <v>108.7</v>
      </c>
      <c r="F35" s="14">
        <v>147.54</v>
      </c>
      <c r="G35" s="14">
        <v>5.0599999999999996</v>
      </c>
      <c r="H35" s="14">
        <v>132.19999999999999</v>
      </c>
      <c r="I35" s="14">
        <v>158.36000000000001</v>
      </c>
      <c r="J35" s="14">
        <v>96.24</v>
      </c>
      <c r="K35" s="14">
        <v>5.0599999999999996</v>
      </c>
      <c r="L35" s="14">
        <v>80.91</v>
      </c>
      <c r="M35" s="14">
        <v>107.06</v>
      </c>
      <c r="N35" s="14">
        <v>59.98</v>
      </c>
      <c r="O35" s="14">
        <v>0.2</v>
      </c>
      <c r="P35" s="14">
        <v>58</v>
      </c>
      <c r="Q35" s="14">
        <v>61</v>
      </c>
      <c r="R35" s="13" t="s">
        <v>29</v>
      </c>
    </row>
    <row r="36" spans="1:27" s="110" customFormat="1" ht="16.2" thickBot="1" x14ac:dyDescent="0.35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1:27" s="6" customForma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57"/>
      <c r="S37" s="16"/>
    </row>
    <row r="38" spans="1:27" s="6" customFormat="1" x14ac:dyDescent="0.3">
      <c r="A38" s="87"/>
      <c r="B38" s="7" t="s">
        <v>4</v>
      </c>
      <c r="C38" s="7" t="s">
        <v>166</v>
      </c>
      <c r="D38" s="7" t="s">
        <v>6</v>
      </c>
      <c r="E38" s="7" t="s">
        <v>7</v>
      </c>
      <c r="F38" s="7" t="s">
        <v>4</v>
      </c>
      <c r="G38" s="7" t="s">
        <v>166</v>
      </c>
      <c r="H38" s="7" t="s">
        <v>6</v>
      </c>
      <c r="I38" s="7" t="s">
        <v>7</v>
      </c>
      <c r="J38" s="7" t="s">
        <v>4</v>
      </c>
      <c r="K38" s="7" t="s">
        <v>166</v>
      </c>
      <c r="L38" s="7" t="s">
        <v>6</v>
      </c>
      <c r="M38" s="7" t="s">
        <v>7</v>
      </c>
      <c r="N38" s="7" t="s">
        <v>4</v>
      </c>
      <c r="O38" s="7" t="s">
        <v>166</v>
      </c>
      <c r="P38" s="7" t="s">
        <v>6</v>
      </c>
      <c r="Q38" s="7" t="s">
        <v>7</v>
      </c>
      <c r="R38" s="57"/>
      <c r="S38" s="16"/>
    </row>
    <row r="39" spans="1:27" x14ac:dyDescent="0.3">
      <c r="A39" s="8" t="s">
        <v>171</v>
      </c>
      <c r="B39" s="9">
        <f>AVERAGE(B4,B11,B18,B25,B32)</f>
        <v>69.927999999999997</v>
      </c>
      <c r="C39" s="9">
        <f>_xlfn.STDEV.S(B4,B11,B18,B25,B32)</f>
        <v>0.32614413991362845</v>
      </c>
      <c r="D39" s="9">
        <f>MIN(D4,D11,D18,D25,D32)</f>
        <v>28.7</v>
      </c>
      <c r="E39" s="9">
        <f>MAX(E4,E11,E18,E25,E32)</f>
        <v>83.1</v>
      </c>
      <c r="F39" s="9">
        <f t="shared" ref="F39:N39" si="0">AVERAGE(F4,F11,F18,F25,F32)</f>
        <v>210.18</v>
      </c>
      <c r="G39" s="9">
        <f>_xlfn.STDEV.S(F4,F11,F18,F25,F32)</f>
        <v>1.4026938368724602</v>
      </c>
      <c r="H39" s="9">
        <f>MIN(H4,H11,H18,H25,H32)</f>
        <v>79.010000000000005</v>
      </c>
      <c r="I39" s="9">
        <f>MAX(I4,I11,I18,I25,I32)</f>
        <v>345.97</v>
      </c>
      <c r="J39" s="9">
        <f t="shared" si="0"/>
        <v>131.44999999999999</v>
      </c>
      <c r="K39" s="9">
        <f>_xlfn.STDEV.S(J4,J11,J18,J25,J32)</f>
        <v>3.6390245945857513</v>
      </c>
      <c r="L39" s="9">
        <f>MIN(L4,L11,L18,L25,L32)</f>
        <v>0</v>
      </c>
      <c r="M39" s="9">
        <f>MAX(M4,M11,M18,M25,M32)</f>
        <v>266.37</v>
      </c>
      <c r="N39" s="9">
        <f t="shared" si="0"/>
        <v>59.998000000000005</v>
      </c>
      <c r="O39" s="9">
        <f>_xlfn.STDEV.S(N4,N11,N18,N25,N32)</f>
        <v>4.472135954998689E-3</v>
      </c>
      <c r="P39" s="9">
        <f>MIN(P4,P11,P18,P25,P32)</f>
        <v>58</v>
      </c>
      <c r="Q39" s="9">
        <f>MAX(Q4,Q11,Q18,Q25,Q32)</f>
        <v>60</v>
      </c>
      <c r="R39" s="57"/>
      <c r="S39" s="51"/>
    </row>
    <row r="40" spans="1:27" x14ac:dyDescent="0.3">
      <c r="A40" s="8" t="s">
        <v>9</v>
      </c>
      <c r="B40" s="9">
        <f t="shared" ref="B40:N42" si="1">AVERAGE(B5,B12,B19,B26,B33)</f>
        <v>67.632000000000005</v>
      </c>
      <c r="C40" s="9">
        <f t="shared" ref="C40:C42" si="2">_xlfn.STDEV.S(B5,B12,B19,B26,B33)</f>
        <v>0.89076933041051665</v>
      </c>
      <c r="D40" s="9">
        <f t="shared" ref="D40:D42" si="3">MIN(D5,D12,D19,D26,D33)</f>
        <v>27.3</v>
      </c>
      <c r="E40" s="9">
        <f t="shared" ref="E40:E42" si="4">MAX(E5,E12,E19,E26,E33)</f>
        <v>88.6</v>
      </c>
      <c r="F40" s="9">
        <f t="shared" si="1"/>
        <v>206.17400000000004</v>
      </c>
      <c r="G40" s="9">
        <f t="shared" ref="G40:G42" si="5">_xlfn.STDEV.S(F5,F12,F19,F26,F33)</f>
        <v>3.0897297616458226</v>
      </c>
      <c r="H40" s="9">
        <f t="shared" ref="H40:H42" si="6">MIN(H5,H12,H19,H26,H33)</f>
        <v>70.02</v>
      </c>
      <c r="I40" s="9">
        <f t="shared" ref="I40:I42" si="7">MAX(I5,I12,I19,I26,I33)</f>
        <v>342.11</v>
      </c>
      <c r="J40" s="9">
        <f t="shared" si="1"/>
        <v>146.90200000000002</v>
      </c>
      <c r="K40" s="9">
        <f t="shared" ref="K40:K42" si="8">_xlfn.STDEV.S(J5,J12,J19,J26,J33)</f>
        <v>15.640632020477952</v>
      </c>
      <c r="L40" s="9">
        <f t="shared" ref="L40:L42" si="9">MIN(L5,L12,L19,L26,L33)</f>
        <v>0</v>
      </c>
      <c r="M40" s="9">
        <f t="shared" ref="M40:M42" si="10">MAX(M5,M12,M19,M26,M33)</f>
        <v>295.93</v>
      </c>
      <c r="N40" s="9">
        <f t="shared" si="1"/>
        <v>59.989999999999995</v>
      </c>
      <c r="O40" s="9">
        <f t="shared" ref="O40:O42" si="11">_xlfn.STDEV.S(N5,N12,N19,N26,N33)</f>
        <v>7.0710678118665812E-3</v>
      </c>
      <c r="P40" s="9">
        <f t="shared" ref="P40:P42" si="12">MIN(P5,P12,P19,P26,P33)</f>
        <v>57</v>
      </c>
      <c r="Q40" s="9">
        <f t="shared" ref="Q40:Q42" si="13">MAX(Q5,Q12,Q19,Q26,Q33)</f>
        <v>60</v>
      </c>
      <c r="R40" s="57"/>
      <c r="S40" s="51"/>
    </row>
    <row r="41" spans="1:27" x14ac:dyDescent="0.3">
      <c r="A41" s="8" t="s">
        <v>11</v>
      </c>
      <c r="B41" s="9">
        <f t="shared" si="1"/>
        <v>98.807999999999993</v>
      </c>
      <c r="C41" s="9">
        <f t="shared" si="2"/>
        <v>1.1452597958542021</v>
      </c>
      <c r="D41" s="9">
        <f t="shared" si="3"/>
        <v>44.4</v>
      </c>
      <c r="E41" s="9">
        <f t="shared" si="4"/>
        <v>163.1</v>
      </c>
      <c r="F41" s="9">
        <f t="shared" si="1"/>
        <v>326.85000000000002</v>
      </c>
      <c r="G41" s="9">
        <f t="shared" si="5"/>
        <v>7.7087839507927649</v>
      </c>
      <c r="H41" s="9">
        <f t="shared" si="6"/>
        <v>192.8</v>
      </c>
      <c r="I41" s="9">
        <f t="shared" si="7"/>
        <v>475.3</v>
      </c>
      <c r="J41" s="9">
        <f t="shared" si="1"/>
        <v>133.274</v>
      </c>
      <c r="K41" s="9">
        <f t="shared" si="8"/>
        <v>5.0833187977934244</v>
      </c>
      <c r="L41" s="9">
        <f t="shared" si="9"/>
        <v>0</v>
      </c>
      <c r="M41" s="9">
        <f t="shared" si="10"/>
        <v>279.60000000000002</v>
      </c>
      <c r="N41" s="9">
        <f t="shared" si="1"/>
        <v>59.991999999999997</v>
      </c>
      <c r="O41" s="9">
        <f t="shared" si="11"/>
        <v>8.3666002653416394E-3</v>
      </c>
      <c r="P41" s="9">
        <f t="shared" si="12"/>
        <v>59</v>
      </c>
      <c r="Q41" s="9">
        <f t="shared" si="13"/>
        <v>60</v>
      </c>
      <c r="R41" s="57"/>
      <c r="S41" s="51"/>
    </row>
    <row r="42" spans="1:27" ht="16.2" thickBot="1" x14ac:dyDescent="0.35">
      <c r="A42" s="11" t="s">
        <v>172</v>
      </c>
      <c r="B42" s="9">
        <f t="shared" si="1"/>
        <v>95.486000000000004</v>
      </c>
      <c r="C42" s="9">
        <f t="shared" si="2"/>
        <v>0.91625869709378494</v>
      </c>
      <c r="D42" s="9">
        <f t="shared" si="3"/>
        <v>39</v>
      </c>
      <c r="E42" s="9">
        <f t="shared" si="4"/>
        <v>111.6</v>
      </c>
      <c r="F42" s="9">
        <f t="shared" si="1"/>
        <v>149.56799999999998</v>
      </c>
      <c r="G42" s="9">
        <f t="shared" si="5"/>
        <v>2.1636704924733894</v>
      </c>
      <c r="H42" s="9">
        <f t="shared" si="6"/>
        <v>132.19999999999999</v>
      </c>
      <c r="I42" s="9">
        <f t="shared" si="7"/>
        <v>160.78</v>
      </c>
      <c r="J42" s="9">
        <f t="shared" si="1"/>
        <v>84.51</v>
      </c>
      <c r="K42" s="9">
        <f t="shared" si="8"/>
        <v>16.324861408293778</v>
      </c>
      <c r="L42" s="9">
        <f t="shared" si="9"/>
        <v>53.75</v>
      </c>
      <c r="M42" s="9">
        <f t="shared" si="10"/>
        <v>107.41</v>
      </c>
      <c r="N42" s="9">
        <f t="shared" si="1"/>
        <v>59.963999999999999</v>
      </c>
      <c r="O42" s="9">
        <f t="shared" si="11"/>
        <v>1.1401754250989113E-2</v>
      </c>
      <c r="P42" s="9">
        <f t="shared" si="12"/>
        <v>58</v>
      </c>
      <c r="Q42" s="9">
        <f t="shared" si="13"/>
        <v>61</v>
      </c>
      <c r="R42" s="57"/>
      <c r="S42" s="51"/>
    </row>
    <row r="44" spans="1:27" x14ac:dyDescent="0.3">
      <c r="A44" s="20"/>
    </row>
  </sheetData>
  <mergeCells count="35">
    <mergeCell ref="A37:A38"/>
    <mergeCell ref="B37:E37"/>
    <mergeCell ref="F37:I37"/>
    <mergeCell ref="J37:M37"/>
    <mergeCell ref="N37:Q37"/>
    <mergeCell ref="A29:XFD29"/>
    <mergeCell ref="A9:A10"/>
    <mergeCell ref="A16:A17"/>
    <mergeCell ref="A23:A24"/>
    <mergeCell ref="A30:A31"/>
    <mergeCell ref="F23:I23"/>
    <mergeCell ref="A15:XFD15"/>
    <mergeCell ref="A22:XFD22"/>
    <mergeCell ref="A36:XFD36"/>
    <mergeCell ref="N9:Q9"/>
    <mergeCell ref="B9:E9"/>
    <mergeCell ref="F9:I9"/>
    <mergeCell ref="J9:M9"/>
    <mergeCell ref="B16:E16"/>
    <mergeCell ref="F16:I16"/>
    <mergeCell ref="J16:M16"/>
    <mergeCell ref="N16:Q16"/>
    <mergeCell ref="B23:E23"/>
    <mergeCell ref="J23:M23"/>
    <mergeCell ref="N23:Q23"/>
    <mergeCell ref="B30:E30"/>
    <mergeCell ref="F30:I30"/>
    <mergeCell ref="J30:M30"/>
    <mergeCell ref="N30:Q30"/>
    <mergeCell ref="B2:E2"/>
    <mergeCell ref="F2:I2"/>
    <mergeCell ref="J2:M2"/>
    <mergeCell ref="N2:Q2"/>
    <mergeCell ref="A8:XFD8"/>
    <mergeCell ref="A2:A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30" workbookViewId="0">
      <selection activeCell="A36" sqref="A36:XFD36"/>
    </sheetView>
  </sheetViews>
  <sheetFormatPr defaultColWidth="8.88671875" defaultRowHeight="15.6" x14ac:dyDescent="0.3"/>
  <cols>
    <col min="1" max="1" width="21" style="41" customWidth="1"/>
    <col min="2" max="17" width="8.88671875" style="58"/>
    <col min="18" max="18" width="43.33203125" style="21" customWidth="1"/>
    <col min="19" max="16384" width="8.88671875" style="58"/>
  </cols>
  <sheetData>
    <row r="1" spans="1:27" ht="16.2" thickBot="1" x14ac:dyDescent="0.35">
      <c r="A1" s="35"/>
    </row>
    <row r="2" spans="1:27" s="23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15"/>
      <c r="S2" s="22"/>
    </row>
    <row r="3" spans="1:27" s="25" customFormat="1" x14ac:dyDescent="0.3">
      <c r="A3" s="72"/>
      <c r="B3" s="55" t="s">
        <v>4</v>
      </c>
      <c r="C3" s="55" t="s">
        <v>5</v>
      </c>
      <c r="D3" s="55" t="s">
        <v>6</v>
      </c>
      <c r="E3" s="55" t="s">
        <v>7</v>
      </c>
      <c r="F3" s="55" t="s">
        <v>4</v>
      </c>
      <c r="G3" s="55" t="s">
        <v>5</v>
      </c>
      <c r="H3" s="55" t="s">
        <v>6</v>
      </c>
      <c r="I3" s="55" t="s">
        <v>7</v>
      </c>
      <c r="J3" s="55" t="s">
        <v>4</v>
      </c>
      <c r="K3" s="55" t="s">
        <v>5</v>
      </c>
      <c r="L3" s="55" t="s">
        <v>6</v>
      </c>
      <c r="M3" s="55" t="s">
        <v>7</v>
      </c>
      <c r="N3" s="55" t="s">
        <v>4</v>
      </c>
      <c r="O3" s="55" t="s">
        <v>5</v>
      </c>
      <c r="P3" s="55" t="s">
        <v>6</v>
      </c>
      <c r="Q3" s="55" t="s">
        <v>7</v>
      </c>
      <c r="R3" s="17"/>
      <c r="S3" s="24"/>
    </row>
    <row r="4" spans="1:27" s="26" customFormat="1" x14ac:dyDescent="0.3">
      <c r="A4" s="64" t="s">
        <v>171</v>
      </c>
      <c r="B4" s="9">
        <v>87.21</v>
      </c>
      <c r="C4" s="9">
        <v>4.6500000000000004</v>
      </c>
      <c r="D4" s="9">
        <v>48.3</v>
      </c>
      <c r="E4" s="9">
        <v>99.9</v>
      </c>
      <c r="F4" s="9">
        <v>82.24</v>
      </c>
      <c r="G4" s="9">
        <v>4.2699999999999996</v>
      </c>
      <c r="H4" s="9">
        <v>73.08</v>
      </c>
      <c r="I4" s="9">
        <v>90.99</v>
      </c>
      <c r="J4" s="9">
        <v>6.36</v>
      </c>
      <c r="K4" s="9">
        <v>4.07</v>
      </c>
      <c r="L4" s="9">
        <v>0</v>
      </c>
      <c r="M4" s="9">
        <v>15</v>
      </c>
      <c r="N4" s="9">
        <v>59.99</v>
      </c>
      <c r="O4" s="9">
        <v>0.11</v>
      </c>
      <c r="P4" s="9">
        <v>59</v>
      </c>
      <c r="Q4" s="9">
        <v>60</v>
      </c>
      <c r="R4" s="10" t="s">
        <v>30</v>
      </c>
    </row>
    <row r="5" spans="1:27" s="26" customFormat="1" ht="16.2" thickBot="1" x14ac:dyDescent="0.35">
      <c r="A5" s="64" t="s">
        <v>9</v>
      </c>
      <c r="B5" s="9">
        <v>84.38</v>
      </c>
      <c r="C5" s="9">
        <v>7.06</v>
      </c>
      <c r="D5" s="9">
        <v>42.1</v>
      </c>
      <c r="E5" s="9">
        <v>101.3</v>
      </c>
      <c r="F5" s="9">
        <v>78.44</v>
      </c>
      <c r="G5" s="9">
        <v>4.47</v>
      </c>
      <c r="H5" s="9">
        <v>69.11</v>
      </c>
      <c r="I5" s="9">
        <v>87.84</v>
      </c>
      <c r="J5" s="9">
        <v>7.27</v>
      </c>
      <c r="K5" s="9">
        <v>4.4000000000000004</v>
      </c>
      <c r="L5" s="9">
        <v>0</v>
      </c>
      <c r="M5" s="9">
        <v>16.63</v>
      </c>
      <c r="N5" s="9">
        <v>59.99</v>
      </c>
      <c r="O5" s="9">
        <v>0.11</v>
      </c>
      <c r="P5" s="9">
        <v>59</v>
      </c>
      <c r="Q5" s="9">
        <v>60</v>
      </c>
      <c r="R5" s="10" t="s">
        <v>31</v>
      </c>
    </row>
    <row r="6" spans="1:27" s="26" customFormat="1" ht="16.2" thickBot="1" x14ac:dyDescent="0.35">
      <c r="A6" s="64" t="s">
        <v>11</v>
      </c>
      <c r="B6" s="19">
        <v>84.68</v>
      </c>
      <c r="C6" s="19">
        <v>9.9700000000000006</v>
      </c>
      <c r="D6" s="19">
        <v>44.2</v>
      </c>
      <c r="E6" s="19">
        <v>176.9</v>
      </c>
      <c r="F6" s="19">
        <v>128.9</v>
      </c>
      <c r="G6" s="19">
        <v>1.89</v>
      </c>
      <c r="H6" s="19">
        <v>125.2</v>
      </c>
      <c r="I6" s="19">
        <v>132.1</v>
      </c>
      <c r="J6" s="19">
        <v>0.74</v>
      </c>
      <c r="K6" s="19">
        <v>0.93</v>
      </c>
      <c r="L6" s="19">
        <v>0</v>
      </c>
      <c r="M6" s="19">
        <v>3</v>
      </c>
      <c r="N6" s="19">
        <v>59.94</v>
      </c>
      <c r="O6" s="19">
        <v>0.25</v>
      </c>
      <c r="P6" s="19">
        <v>59</v>
      </c>
      <c r="Q6" s="19">
        <v>60</v>
      </c>
      <c r="R6" s="10" t="s">
        <v>32</v>
      </c>
      <c r="S6" s="27"/>
      <c r="T6" s="28"/>
      <c r="U6" s="28"/>
      <c r="V6" s="28"/>
      <c r="W6" s="28"/>
      <c r="X6" s="28"/>
      <c r="Y6" s="28"/>
      <c r="Z6" s="28"/>
      <c r="AA6" s="28"/>
    </row>
    <row r="7" spans="1:27" s="31" customFormat="1" ht="16.2" thickBot="1" x14ac:dyDescent="0.35">
      <c r="A7" s="40" t="s">
        <v>172</v>
      </c>
      <c r="B7" s="19">
        <v>80.58</v>
      </c>
      <c r="C7" s="19">
        <v>7.31</v>
      </c>
      <c r="D7" s="19">
        <v>55.9</v>
      </c>
      <c r="E7" s="19">
        <v>96.4</v>
      </c>
      <c r="F7" s="19">
        <v>99.68</v>
      </c>
      <c r="G7" s="19">
        <v>3.18</v>
      </c>
      <c r="H7" s="19">
        <v>91.4</v>
      </c>
      <c r="I7" s="19">
        <v>106.52</v>
      </c>
      <c r="J7" s="19">
        <v>4.6100000000000003</v>
      </c>
      <c r="K7" s="19">
        <v>2.96</v>
      </c>
      <c r="L7" s="19">
        <v>0</v>
      </c>
      <c r="M7" s="19">
        <v>11.33</v>
      </c>
      <c r="N7" s="19">
        <v>59.93</v>
      </c>
      <c r="O7" s="19">
        <v>0.26</v>
      </c>
      <c r="P7" s="19">
        <v>59</v>
      </c>
      <c r="Q7" s="19">
        <v>60</v>
      </c>
      <c r="R7" s="10" t="s">
        <v>33</v>
      </c>
      <c r="S7" s="29"/>
      <c r="T7" s="30"/>
      <c r="U7" s="30"/>
      <c r="V7" s="30"/>
      <c r="W7" s="30"/>
      <c r="X7" s="30"/>
      <c r="Y7" s="30"/>
      <c r="Z7" s="30"/>
      <c r="AA7" s="30"/>
    </row>
    <row r="8" spans="1:27" s="90" customFormat="1" ht="16.2" thickBot="1" x14ac:dyDescent="0.35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9"/>
      <c r="T8" s="89"/>
      <c r="U8" s="89"/>
      <c r="V8" s="89"/>
      <c r="W8" s="89"/>
      <c r="X8" s="89"/>
      <c r="Y8" s="89"/>
      <c r="Z8" s="89"/>
      <c r="AA8" s="89"/>
    </row>
    <row r="9" spans="1:27" s="23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15"/>
      <c r="S9" s="22"/>
    </row>
    <row r="10" spans="1:27" s="25" customFormat="1" x14ac:dyDescent="0.3">
      <c r="A10" s="72"/>
      <c r="B10" s="55" t="s">
        <v>4</v>
      </c>
      <c r="C10" s="55" t="s">
        <v>5</v>
      </c>
      <c r="D10" s="55" t="s">
        <v>6</v>
      </c>
      <c r="E10" s="55" t="s">
        <v>7</v>
      </c>
      <c r="F10" s="55" t="s">
        <v>4</v>
      </c>
      <c r="G10" s="55" t="s">
        <v>5</v>
      </c>
      <c r="H10" s="55" t="s">
        <v>6</v>
      </c>
      <c r="I10" s="55" t="s">
        <v>7</v>
      </c>
      <c r="J10" s="55" t="s">
        <v>4</v>
      </c>
      <c r="K10" s="55" t="s">
        <v>5</v>
      </c>
      <c r="L10" s="55" t="s">
        <v>6</v>
      </c>
      <c r="M10" s="55" t="s">
        <v>7</v>
      </c>
      <c r="N10" s="55" t="s">
        <v>4</v>
      </c>
      <c r="O10" s="55" t="s">
        <v>5</v>
      </c>
      <c r="P10" s="55" t="s">
        <v>6</v>
      </c>
      <c r="Q10" s="55" t="s">
        <v>7</v>
      </c>
      <c r="R10" s="17"/>
      <c r="S10" s="24"/>
    </row>
    <row r="11" spans="1:27" s="26" customFormat="1" x14ac:dyDescent="0.3">
      <c r="A11" s="64" t="s">
        <v>171</v>
      </c>
      <c r="B11" s="32">
        <v>86.08</v>
      </c>
      <c r="C11" s="32">
        <v>4.05</v>
      </c>
      <c r="D11" s="32">
        <v>60</v>
      </c>
      <c r="E11" s="32">
        <v>97.9</v>
      </c>
      <c r="F11" s="32">
        <v>80.94</v>
      </c>
      <c r="G11" s="32">
        <v>4.43</v>
      </c>
      <c r="H11" s="32">
        <v>71.31</v>
      </c>
      <c r="I11" s="32">
        <v>90.23</v>
      </c>
      <c r="J11" s="32">
        <v>6.9</v>
      </c>
      <c r="K11" s="32">
        <v>4.3</v>
      </c>
      <c r="L11" s="32">
        <v>0</v>
      </c>
      <c r="M11" s="32">
        <v>16.11</v>
      </c>
      <c r="N11" s="9">
        <v>59.98</v>
      </c>
      <c r="O11" s="9">
        <v>0.15</v>
      </c>
      <c r="P11" s="9">
        <v>59</v>
      </c>
      <c r="Q11" s="9">
        <v>60</v>
      </c>
      <c r="R11" s="10" t="s">
        <v>34</v>
      </c>
    </row>
    <row r="12" spans="1:27" s="26" customFormat="1" x14ac:dyDescent="0.3">
      <c r="A12" s="64" t="s">
        <v>9</v>
      </c>
      <c r="B12" s="9">
        <v>82.24</v>
      </c>
      <c r="C12" s="9">
        <v>7.92</v>
      </c>
      <c r="D12" s="9">
        <v>36.9</v>
      </c>
      <c r="E12" s="9">
        <v>95</v>
      </c>
      <c r="F12" s="61">
        <v>77.14</v>
      </c>
      <c r="G12" s="61">
        <v>4.2300000000000004</v>
      </c>
      <c r="H12" s="61">
        <v>68.349999999999994</v>
      </c>
      <c r="I12" s="61">
        <v>86.06</v>
      </c>
      <c r="J12" s="61">
        <v>7.38</v>
      </c>
      <c r="K12" s="61">
        <v>4.1900000000000004</v>
      </c>
      <c r="L12" s="61">
        <v>0</v>
      </c>
      <c r="M12" s="61">
        <v>16.28</v>
      </c>
      <c r="N12" s="61">
        <v>59.99</v>
      </c>
      <c r="O12" s="61">
        <v>0.08</v>
      </c>
      <c r="P12" s="61">
        <v>59</v>
      </c>
      <c r="Q12" s="61">
        <v>60</v>
      </c>
      <c r="R12" s="10" t="s">
        <v>35</v>
      </c>
    </row>
    <row r="13" spans="1:27" s="26" customFormat="1" ht="16.2" thickBot="1" x14ac:dyDescent="0.35">
      <c r="A13" s="64" t="s">
        <v>11</v>
      </c>
      <c r="B13" s="9">
        <v>88.48</v>
      </c>
      <c r="C13" s="9">
        <v>5.92</v>
      </c>
      <c r="D13" s="9">
        <v>53.2</v>
      </c>
      <c r="E13" s="9">
        <v>167.1</v>
      </c>
      <c r="F13" s="61">
        <v>125.98</v>
      </c>
      <c r="G13" s="61">
        <v>2.14</v>
      </c>
      <c r="H13" s="61">
        <v>121.2</v>
      </c>
      <c r="I13" s="61">
        <v>130.1</v>
      </c>
      <c r="J13" s="61">
        <v>2.2599999999999998</v>
      </c>
      <c r="K13" s="61">
        <v>1.88</v>
      </c>
      <c r="L13" s="61">
        <v>0</v>
      </c>
      <c r="M13" s="61">
        <v>6.2</v>
      </c>
      <c r="N13" s="61">
        <v>59.93</v>
      </c>
      <c r="O13" s="61">
        <v>0.27</v>
      </c>
      <c r="P13" s="61">
        <v>58</v>
      </c>
      <c r="Q13" s="61">
        <v>60</v>
      </c>
      <c r="R13" s="10" t="s">
        <v>36</v>
      </c>
    </row>
    <row r="14" spans="1:27" s="31" customFormat="1" ht="16.2" customHeight="1" thickBot="1" x14ac:dyDescent="0.35">
      <c r="A14" s="40" t="s">
        <v>172</v>
      </c>
      <c r="B14" s="19">
        <v>81.86</v>
      </c>
      <c r="C14" s="19">
        <v>7.56</v>
      </c>
      <c r="D14" s="19">
        <v>46</v>
      </c>
      <c r="E14" s="19">
        <v>98.7</v>
      </c>
      <c r="F14" s="19">
        <v>98.05</v>
      </c>
      <c r="G14" s="19">
        <v>3.34</v>
      </c>
      <c r="H14" s="19">
        <v>89.26</v>
      </c>
      <c r="I14" s="19">
        <v>104.67</v>
      </c>
      <c r="J14" s="19">
        <v>6.43</v>
      </c>
      <c r="K14" s="19">
        <v>3.21</v>
      </c>
      <c r="L14" s="19">
        <v>0</v>
      </c>
      <c r="M14" s="19">
        <v>12.98</v>
      </c>
      <c r="N14" s="19">
        <v>59.93</v>
      </c>
      <c r="O14" s="19">
        <v>0.28000000000000003</v>
      </c>
      <c r="P14" s="19">
        <v>58</v>
      </c>
      <c r="Q14" s="19">
        <v>61</v>
      </c>
      <c r="R14" s="10" t="s">
        <v>37</v>
      </c>
      <c r="S14" s="29"/>
      <c r="T14" s="30"/>
      <c r="U14" s="30"/>
      <c r="V14" s="30"/>
      <c r="W14" s="30"/>
      <c r="X14" s="30"/>
      <c r="Y14" s="30"/>
      <c r="Z14" s="30"/>
      <c r="AA14" s="30"/>
    </row>
    <row r="15" spans="1:27" s="90" customFormat="1" ht="16.2" thickBot="1" x14ac:dyDescent="0.3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9"/>
      <c r="T15" s="89"/>
      <c r="U15" s="89"/>
      <c r="V15" s="89"/>
      <c r="W15" s="89"/>
      <c r="X15" s="89"/>
      <c r="Y15" s="89"/>
      <c r="Z15" s="89"/>
      <c r="AA15" s="89"/>
    </row>
    <row r="16" spans="1:27" s="23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15"/>
      <c r="S16" s="22"/>
    </row>
    <row r="17" spans="1:27" s="25" customFormat="1" x14ac:dyDescent="0.3">
      <c r="A17" s="72"/>
      <c r="B17" s="55" t="s">
        <v>4</v>
      </c>
      <c r="C17" s="55" t="s">
        <v>5</v>
      </c>
      <c r="D17" s="55" t="s">
        <v>6</v>
      </c>
      <c r="E17" s="55" t="s">
        <v>7</v>
      </c>
      <c r="F17" s="55" t="s">
        <v>4</v>
      </c>
      <c r="G17" s="55" t="s">
        <v>5</v>
      </c>
      <c r="H17" s="55" t="s">
        <v>6</v>
      </c>
      <c r="I17" s="55" t="s">
        <v>7</v>
      </c>
      <c r="J17" s="55" t="s">
        <v>4</v>
      </c>
      <c r="K17" s="55" t="s">
        <v>5</v>
      </c>
      <c r="L17" s="55" t="s">
        <v>6</v>
      </c>
      <c r="M17" s="55" t="s">
        <v>7</v>
      </c>
      <c r="N17" s="55" t="s">
        <v>4</v>
      </c>
      <c r="O17" s="55" t="s">
        <v>5</v>
      </c>
      <c r="P17" s="55" t="s">
        <v>6</v>
      </c>
      <c r="Q17" s="55" t="s">
        <v>7</v>
      </c>
      <c r="R17" s="17"/>
      <c r="S17" s="24"/>
    </row>
    <row r="18" spans="1:27" s="26" customFormat="1" x14ac:dyDescent="0.3">
      <c r="A18" s="64" t="s">
        <v>171</v>
      </c>
      <c r="B18" s="9">
        <v>87.19</v>
      </c>
      <c r="C18" s="9">
        <v>5.62</v>
      </c>
      <c r="D18" s="9">
        <v>51.3</v>
      </c>
      <c r="E18" s="9">
        <v>98.5</v>
      </c>
      <c r="F18" s="61">
        <v>80.03</v>
      </c>
      <c r="G18" s="61">
        <v>4.4000000000000004</v>
      </c>
      <c r="H18" s="61">
        <v>70.239999999999995</v>
      </c>
      <c r="I18" s="61">
        <v>89.04</v>
      </c>
      <c r="J18" s="61">
        <v>7.4</v>
      </c>
      <c r="K18" s="61">
        <v>4.34</v>
      </c>
      <c r="L18" s="61">
        <v>0</v>
      </c>
      <c r="M18" s="61">
        <v>16.38</v>
      </c>
      <c r="N18" s="61">
        <v>59.99</v>
      </c>
      <c r="O18" s="61">
        <v>0.1</v>
      </c>
      <c r="P18" s="61">
        <v>59</v>
      </c>
      <c r="Q18" s="61">
        <v>60</v>
      </c>
      <c r="R18" s="10" t="s">
        <v>38</v>
      </c>
    </row>
    <row r="19" spans="1:27" s="26" customFormat="1" ht="16.2" thickBot="1" x14ac:dyDescent="0.35">
      <c r="A19" s="64" t="s">
        <v>9</v>
      </c>
      <c r="B19" s="9">
        <v>83.92</v>
      </c>
      <c r="C19" s="9">
        <v>8.4700000000000006</v>
      </c>
      <c r="D19" s="9">
        <v>37.5</v>
      </c>
      <c r="E19" s="9">
        <v>96.8</v>
      </c>
      <c r="F19" s="9">
        <v>78.91</v>
      </c>
      <c r="G19" s="9">
        <v>4.29</v>
      </c>
      <c r="H19" s="9">
        <v>69.52</v>
      </c>
      <c r="I19" s="9">
        <v>87.51</v>
      </c>
      <c r="J19" s="9">
        <v>7.33</v>
      </c>
      <c r="K19" s="9">
        <v>4.22</v>
      </c>
      <c r="L19" s="9">
        <v>0</v>
      </c>
      <c r="M19" s="9">
        <v>15.9</v>
      </c>
      <c r="N19" s="9">
        <v>59.98</v>
      </c>
      <c r="O19" s="9">
        <v>0.13</v>
      </c>
      <c r="P19" s="9">
        <v>59</v>
      </c>
      <c r="Q19" s="9">
        <v>60</v>
      </c>
      <c r="R19" s="10" t="s">
        <v>39</v>
      </c>
    </row>
    <row r="20" spans="1:27" s="26" customFormat="1" ht="16.2" thickBot="1" x14ac:dyDescent="0.35">
      <c r="A20" s="64" t="s">
        <v>11</v>
      </c>
      <c r="B20" s="19">
        <v>84.59</v>
      </c>
      <c r="C20" s="19">
        <v>9.7899999999999991</v>
      </c>
      <c r="D20" s="19">
        <v>39.6</v>
      </c>
      <c r="E20" s="19">
        <v>179.5</v>
      </c>
      <c r="F20" s="19">
        <v>134.52000000000001</v>
      </c>
      <c r="G20" s="19">
        <v>2.0299999999999998</v>
      </c>
      <c r="H20" s="19">
        <v>130.5</v>
      </c>
      <c r="I20" s="19">
        <v>139</v>
      </c>
      <c r="J20" s="19">
        <v>1.36</v>
      </c>
      <c r="K20" s="19">
        <v>1.55</v>
      </c>
      <c r="L20" s="19">
        <v>0</v>
      </c>
      <c r="M20" s="19">
        <v>5.4</v>
      </c>
      <c r="N20" s="19">
        <v>59.95</v>
      </c>
      <c r="O20" s="19">
        <v>0.21</v>
      </c>
      <c r="P20" s="19">
        <v>59</v>
      </c>
      <c r="Q20" s="19">
        <v>60</v>
      </c>
      <c r="R20" s="10" t="s">
        <v>40</v>
      </c>
      <c r="S20" s="27"/>
      <c r="T20" s="28"/>
      <c r="U20" s="28"/>
      <c r="V20" s="28"/>
      <c r="W20" s="28"/>
      <c r="X20" s="28"/>
      <c r="Y20" s="28"/>
      <c r="Z20" s="28"/>
      <c r="AA20" s="28"/>
    </row>
    <row r="21" spans="1:27" s="31" customFormat="1" ht="16.2" thickBot="1" x14ac:dyDescent="0.35">
      <c r="A21" s="40" t="s">
        <v>172</v>
      </c>
      <c r="B21" s="19">
        <v>81.650000000000006</v>
      </c>
      <c r="C21" s="19">
        <v>6.23</v>
      </c>
      <c r="D21" s="19">
        <v>43.3</v>
      </c>
      <c r="E21" s="19">
        <v>98</v>
      </c>
      <c r="F21" s="19">
        <v>103.41</v>
      </c>
      <c r="G21" s="19">
        <v>2.62</v>
      </c>
      <c r="H21" s="19">
        <v>97.68</v>
      </c>
      <c r="I21" s="19">
        <v>108.72</v>
      </c>
      <c r="J21" s="19">
        <v>2.6</v>
      </c>
      <c r="K21" s="19">
        <v>2.29</v>
      </c>
      <c r="L21" s="19">
        <v>0</v>
      </c>
      <c r="M21" s="19">
        <v>7.68</v>
      </c>
      <c r="N21" s="19">
        <v>59.95</v>
      </c>
      <c r="O21" s="19">
        <v>0.24</v>
      </c>
      <c r="P21" s="19">
        <v>58</v>
      </c>
      <c r="Q21" s="19">
        <v>61</v>
      </c>
      <c r="R21" s="10" t="s">
        <v>41</v>
      </c>
      <c r="S21" s="29"/>
      <c r="T21" s="30"/>
      <c r="U21" s="30"/>
      <c r="V21" s="30"/>
      <c r="W21" s="30"/>
      <c r="X21" s="30"/>
      <c r="Y21" s="30"/>
      <c r="Z21" s="30"/>
      <c r="AA21" s="30"/>
    </row>
    <row r="22" spans="1:27" s="89" customFormat="1" ht="16.2" thickBot="1" x14ac:dyDescent="0.35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</row>
    <row r="23" spans="1:27" s="23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15"/>
      <c r="S23" s="22"/>
    </row>
    <row r="24" spans="1:27" s="25" customFormat="1" ht="16.2" thickBot="1" x14ac:dyDescent="0.35">
      <c r="A24" s="82"/>
      <c r="B24" s="33" t="s">
        <v>4</v>
      </c>
      <c r="C24" s="33" t="s">
        <v>5</v>
      </c>
      <c r="D24" s="33" t="s">
        <v>6</v>
      </c>
      <c r="E24" s="33" t="s">
        <v>7</v>
      </c>
      <c r="F24" s="33" t="s">
        <v>4</v>
      </c>
      <c r="G24" s="33" t="s">
        <v>5</v>
      </c>
      <c r="H24" s="33" t="s">
        <v>6</v>
      </c>
      <c r="I24" s="33" t="s">
        <v>7</v>
      </c>
      <c r="J24" s="33" t="s">
        <v>4</v>
      </c>
      <c r="K24" s="33" t="s">
        <v>5</v>
      </c>
      <c r="L24" s="33" t="s">
        <v>6</v>
      </c>
      <c r="M24" s="33" t="s">
        <v>7</v>
      </c>
      <c r="N24" s="33" t="s">
        <v>4</v>
      </c>
      <c r="O24" s="33" t="s">
        <v>5</v>
      </c>
      <c r="P24" s="33" t="s">
        <v>6</v>
      </c>
      <c r="Q24" s="33" t="s">
        <v>7</v>
      </c>
      <c r="R24" s="34"/>
      <c r="S24" s="24"/>
    </row>
    <row r="25" spans="1:27" s="26" customFormat="1" ht="16.2" thickBot="1" x14ac:dyDescent="0.35">
      <c r="A25" s="64" t="s">
        <v>171</v>
      </c>
      <c r="B25" s="19">
        <v>86.6</v>
      </c>
      <c r="C25" s="19">
        <v>7.1</v>
      </c>
      <c r="D25" s="19">
        <v>37.299999999999997</v>
      </c>
      <c r="E25" s="19">
        <v>100.3</v>
      </c>
      <c r="F25" s="19">
        <v>80.44</v>
      </c>
      <c r="G25" s="19">
        <v>4.1399999999999997</v>
      </c>
      <c r="H25" s="19">
        <v>71.61</v>
      </c>
      <c r="I25" s="19">
        <v>88.42</v>
      </c>
      <c r="J25" s="19">
        <v>5.31</v>
      </c>
      <c r="K25" s="19">
        <v>3.71</v>
      </c>
      <c r="L25" s="19">
        <v>0</v>
      </c>
      <c r="M25" s="19">
        <v>13.02</v>
      </c>
      <c r="N25" s="19">
        <v>59.99</v>
      </c>
      <c r="O25" s="19">
        <v>0.1</v>
      </c>
      <c r="P25" s="19">
        <v>59</v>
      </c>
      <c r="Q25" s="19">
        <v>60</v>
      </c>
      <c r="R25" s="10" t="s">
        <v>42</v>
      </c>
      <c r="S25" s="27"/>
      <c r="T25" s="28"/>
      <c r="U25" s="28"/>
      <c r="V25" s="28"/>
      <c r="W25" s="28"/>
      <c r="X25" s="28"/>
      <c r="Y25" s="28"/>
      <c r="Z25" s="28"/>
      <c r="AA25" s="28"/>
    </row>
    <row r="26" spans="1:27" s="26" customFormat="1" ht="16.2" thickBot="1" x14ac:dyDescent="0.35">
      <c r="A26" s="64" t="s">
        <v>9</v>
      </c>
      <c r="B26" s="19">
        <v>82.47</v>
      </c>
      <c r="C26" s="19">
        <v>8.6</v>
      </c>
      <c r="D26" s="19">
        <v>40.5</v>
      </c>
      <c r="E26" s="19">
        <v>96.8</v>
      </c>
      <c r="F26" s="19">
        <v>78.72</v>
      </c>
      <c r="G26" s="19">
        <v>4.5</v>
      </c>
      <c r="H26" s="19">
        <v>69.12</v>
      </c>
      <c r="I26" s="19">
        <v>86.81</v>
      </c>
      <c r="J26" s="19">
        <v>7.94</v>
      </c>
      <c r="K26" s="19">
        <v>4.4400000000000004</v>
      </c>
      <c r="L26" s="19">
        <v>0</v>
      </c>
      <c r="M26" s="19">
        <v>16.010000000000002</v>
      </c>
      <c r="N26" s="19">
        <v>59.99</v>
      </c>
      <c r="O26" s="19">
        <v>0.1</v>
      </c>
      <c r="P26" s="19">
        <v>59</v>
      </c>
      <c r="Q26" s="19">
        <v>60</v>
      </c>
      <c r="R26" s="10" t="s">
        <v>43</v>
      </c>
      <c r="S26" s="27"/>
      <c r="T26" s="28"/>
      <c r="U26" s="28"/>
      <c r="V26" s="28"/>
      <c r="W26" s="28"/>
      <c r="X26" s="28"/>
      <c r="Y26" s="28"/>
      <c r="Z26" s="28"/>
      <c r="AA26" s="28"/>
    </row>
    <row r="27" spans="1:27" s="26" customFormat="1" ht="16.2" thickBot="1" x14ac:dyDescent="0.35">
      <c r="A27" s="64" t="s">
        <v>11</v>
      </c>
      <c r="B27" s="19">
        <v>84.6</v>
      </c>
      <c r="C27" s="19">
        <v>9.7799999999999994</v>
      </c>
      <c r="D27" s="19">
        <v>46.6</v>
      </c>
      <c r="E27" s="19">
        <v>169.9</v>
      </c>
      <c r="F27" s="19">
        <v>133.61000000000001</v>
      </c>
      <c r="G27" s="19">
        <v>3.02</v>
      </c>
      <c r="H27" s="19">
        <v>128.80000000000001</v>
      </c>
      <c r="I27" s="19">
        <v>140.30000000000001</v>
      </c>
      <c r="J27" s="19">
        <v>0.76</v>
      </c>
      <c r="K27" s="19">
        <v>1.62</v>
      </c>
      <c r="L27" s="19">
        <v>0</v>
      </c>
      <c r="M27" s="19">
        <v>5.4</v>
      </c>
      <c r="N27" s="19">
        <v>59.92</v>
      </c>
      <c r="O27" s="19">
        <v>0.3</v>
      </c>
      <c r="P27" s="19">
        <v>58</v>
      </c>
      <c r="Q27" s="19">
        <v>60</v>
      </c>
      <c r="R27" s="10" t="s">
        <v>44</v>
      </c>
      <c r="S27" s="27"/>
      <c r="T27" s="28"/>
      <c r="U27" s="28"/>
      <c r="V27" s="28"/>
      <c r="W27" s="28"/>
      <c r="X27" s="28"/>
      <c r="Y27" s="28"/>
      <c r="Z27" s="28"/>
      <c r="AA27" s="28"/>
    </row>
    <row r="28" spans="1:27" s="31" customFormat="1" ht="16.2" thickBot="1" x14ac:dyDescent="0.35">
      <c r="A28" s="40" t="s">
        <v>172</v>
      </c>
      <c r="B28" s="19">
        <v>83.44</v>
      </c>
      <c r="C28" s="19">
        <v>5.67</v>
      </c>
      <c r="D28" s="19">
        <v>52.4</v>
      </c>
      <c r="E28" s="19">
        <v>95</v>
      </c>
      <c r="F28" s="19">
        <v>97.8</v>
      </c>
      <c r="G28" s="19">
        <v>3.22</v>
      </c>
      <c r="H28" s="19">
        <v>89.57</v>
      </c>
      <c r="I28" s="19">
        <v>104.24</v>
      </c>
      <c r="J28" s="19">
        <v>5.62</v>
      </c>
      <c r="K28" s="19">
        <v>3.04</v>
      </c>
      <c r="L28" s="19">
        <v>0</v>
      </c>
      <c r="M28" s="19">
        <v>11.98</v>
      </c>
      <c r="N28" s="19">
        <v>59.94</v>
      </c>
      <c r="O28" s="19">
        <v>0.3</v>
      </c>
      <c r="P28" s="19">
        <v>58</v>
      </c>
      <c r="Q28" s="19">
        <v>61</v>
      </c>
      <c r="R28" s="10" t="s">
        <v>45</v>
      </c>
      <c r="S28" s="29"/>
      <c r="T28" s="30"/>
      <c r="U28" s="30"/>
      <c r="V28" s="30"/>
      <c r="W28" s="30"/>
      <c r="X28" s="30"/>
      <c r="Y28" s="30"/>
      <c r="Z28" s="30"/>
      <c r="AA28" s="30"/>
    </row>
    <row r="29" spans="1:27" s="90" customFormat="1" ht="16.2" thickBot="1" x14ac:dyDescent="0.35">
      <c r="A29" s="89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9"/>
      <c r="T29" s="89"/>
      <c r="U29" s="89"/>
      <c r="V29" s="89"/>
      <c r="W29" s="89"/>
      <c r="X29" s="89"/>
      <c r="Y29" s="89"/>
      <c r="Z29" s="89"/>
      <c r="AA29" s="89"/>
    </row>
    <row r="30" spans="1:27" s="23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15"/>
      <c r="S30" s="22"/>
    </row>
    <row r="31" spans="1:27" s="25" customFormat="1" ht="16.2" thickBot="1" x14ac:dyDescent="0.35">
      <c r="A31" s="72"/>
      <c r="B31" s="33" t="s">
        <v>4</v>
      </c>
      <c r="C31" s="33" t="s">
        <v>5</v>
      </c>
      <c r="D31" s="33" t="s">
        <v>6</v>
      </c>
      <c r="E31" s="33" t="s">
        <v>7</v>
      </c>
      <c r="F31" s="33" t="s">
        <v>4</v>
      </c>
      <c r="G31" s="33" t="s">
        <v>5</v>
      </c>
      <c r="H31" s="33" t="s">
        <v>6</v>
      </c>
      <c r="I31" s="33" t="s">
        <v>7</v>
      </c>
      <c r="J31" s="33" t="s">
        <v>4</v>
      </c>
      <c r="K31" s="33" t="s">
        <v>5</v>
      </c>
      <c r="L31" s="33" t="s">
        <v>6</v>
      </c>
      <c r="M31" s="33" t="s">
        <v>7</v>
      </c>
      <c r="N31" s="33" t="s">
        <v>4</v>
      </c>
      <c r="O31" s="33" t="s">
        <v>5</v>
      </c>
      <c r="P31" s="33" t="s">
        <v>6</v>
      </c>
      <c r="Q31" s="33" t="s">
        <v>7</v>
      </c>
      <c r="R31" s="34"/>
      <c r="S31" s="24"/>
    </row>
    <row r="32" spans="1:27" s="26" customFormat="1" ht="16.2" thickBot="1" x14ac:dyDescent="0.35">
      <c r="A32" s="64" t="s">
        <v>171</v>
      </c>
      <c r="B32" s="19">
        <v>86.94</v>
      </c>
      <c r="C32" s="19">
        <v>4.25</v>
      </c>
      <c r="D32" s="19">
        <v>60.6</v>
      </c>
      <c r="E32" s="19">
        <v>95.6</v>
      </c>
      <c r="F32" s="19">
        <v>78.03</v>
      </c>
      <c r="G32" s="19">
        <v>4.37</v>
      </c>
      <c r="H32" s="19">
        <v>68.709999999999994</v>
      </c>
      <c r="I32" s="19">
        <v>87.03</v>
      </c>
      <c r="J32" s="19">
        <v>7.1</v>
      </c>
      <c r="K32" s="19">
        <v>4.2699999999999996</v>
      </c>
      <c r="L32" s="19">
        <v>0</v>
      </c>
      <c r="M32" s="19">
        <v>16.05</v>
      </c>
      <c r="N32" s="19">
        <v>60</v>
      </c>
      <c r="O32" s="19">
        <v>0</v>
      </c>
      <c r="P32" s="19">
        <v>60</v>
      </c>
      <c r="Q32" s="19">
        <v>60</v>
      </c>
      <c r="R32" s="10" t="s">
        <v>46</v>
      </c>
      <c r="S32" s="27"/>
      <c r="T32" s="28"/>
      <c r="U32" s="28"/>
      <c r="V32" s="28"/>
      <c r="W32" s="28"/>
      <c r="X32" s="28"/>
      <c r="Y32" s="28"/>
      <c r="Z32" s="28"/>
      <c r="AA32" s="28"/>
    </row>
    <row r="33" spans="1:27" s="26" customFormat="1" ht="16.2" thickBot="1" x14ac:dyDescent="0.35">
      <c r="A33" s="64" t="s">
        <v>9</v>
      </c>
      <c r="B33" s="19">
        <v>84.38</v>
      </c>
      <c r="C33" s="19">
        <v>8.9700000000000006</v>
      </c>
      <c r="D33" s="19">
        <v>35.700000000000003</v>
      </c>
      <c r="E33" s="19">
        <v>97.4</v>
      </c>
      <c r="F33" s="19">
        <v>77.739999999999995</v>
      </c>
      <c r="G33" s="19">
        <v>4.42</v>
      </c>
      <c r="H33" s="19">
        <v>68.47</v>
      </c>
      <c r="I33" s="19">
        <v>86.63</v>
      </c>
      <c r="J33" s="19">
        <v>6.75</v>
      </c>
      <c r="K33" s="19">
        <v>4.28</v>
      </c>
      <c r="L33" s="19">
        <v>0</v>
      </c>
      <c r="M33" s="19">
        <v>15.56</v>
      </c>
      <c r="N33" s="19">
        <v>60</v>
      </c>
      <c r="O33" s="19">
        <v>0.06</v>
      </c>
      <c r="P33" s="19">
        <v>59</v>
      </c>
      <c r="Q33" s="19">
        <v>60</v>
      </c>
      <c r="R33" s="10" t="s">
        <v>47</v>
      </c>
      <c r="S33" s="27"/>
      <c r="T33" s="28"/>
      <c r="U33" s="28"/>
      <c r="V33" s="28"/>
      <c r="W33" s="28"/>
      <c r="X33" s="28"/>
      <c r="Y33" s="28"/>
      <c r="Z33" s="28"/>
      <c r="AA33" s="28"/>
    </row>
    <row r="34" spans="1:27" s="26" customFormat="1" ht="16.2" thickBot="1" x14ac:dyDescent="0.35">
      <c r="A34" s="64" t="s">
        <v>11</v>
      </c>
      <c r="B34" s="19">
        <v>84.58</v>
      </c>
      <c r="C34" s="19">
        <v>8.89</v>
      </c>
      <c r="D34" s="19">
        <v>40.299999999999997</v>
      </c>
      <c r="E34" s="19">
        <v>172.8</v>
      </c>
      <c r="F34" s="19">
        <v>124.96</v>
      </c>
      <c r="G34" s="19">
        <v>1.99</v>
      </c>
      <c r="H34" s="19">
        <v>121</v>
      </c>
      <c r="I34" s="19">
        <v>129.19999999999999</v>
      </c>
      <c r="J34" s="19">
        <v>0.83</v>
      </c>
      <c r="K34" s="19">
        <v>1.1599999999999999</v>
      </c>
      <c r="L34" s="19">
        <v>0</v>
      </c>
      <c r="M34" s="19">
        <v>4.2</v>
      </c>
      <c r="N34" s="19">
        <v>59.94</v>
      </c>
      <c r="O34" s="19">
        <v>0.25</v>
      </c>
      <c r="P34" s="19">
        <v>58</v>
      </c>
      <c r="Q34" s="19">
        <v>60</v>
      </c>
      <c r="R34" s="10" t="s">
        <v>48</v>
      </c>
      <c r="S34" s="27"/>
      <c r="T34" s="28"/>
      <c r="U34" s="28"/>
      <c r="V34" s="28"/>
      <c r="W34" s="28"/>
      <c r="X34" s="28"/>
      <c r="Y34" s="28"/>
      <c r="Z34" s="28"/>
      <c r="AA34" s="28"/>
    </row>
    <row r="35" spans="1:27" s="31" customFormat="1" ht="16.2" thickBot="1" x14ac:dyDescent="0.35">
      <c r="A35" s="40" t="s">
        <v>172</v>
      </c>
      <c r="B35" s="19">
        <v>82.98</v>
      </c>
      <c r="C35" s="19">
        <v>8.58</v>
      </c>
      <c r="D35" s="19">
        <v>36.700000000000003</v>
      </c>
      <c r="E35" s="19">
        <v>102.5</v>
      </c>
      <c r="F35" s="19">
        <v>98.3</v>
      </c>
      <c r="G35" s="19">
        <v>2.85</v>
      </c>
      <c r="H35" s="19">
        <v>92.69</v>
      </c>
      <c r="I35" s="19">
        <v>104.92</v>
      </c>
      <c r="J35" s="19">
        <v>6.5</v>
      </c>
      <c r="K35" s="19">
        <v>2.85</v>
      </c>
      <c r="L35" s="19">
        <v>0.89</v>
      </c>
      <c r="M35" s="19">
        <v>13.13</v>
      </c>
      <c r="N35" s="19">
        <v>59.93</v>
      </c>
      <c r="O35" s="19">
        <v>0.26</v>
      </c>
      <c r="P35" s="19">
        <v>59</v>
      </c>
      <c r="Q35" s="19">
        <v>61</v>
      </c>
      <c r="R35" s="10" t="s">
        <v>158</v>
      </c>
      <c r="S35" s="29"/>
      <c r="T35" s="30"/>
      <c r="U35" s="30"/>
      <c r="V35" s="30"/>
      <c r="W35" s="30"/>
      <c r="X35" s="30"/>
      <c r="Y35" s="30"/>
      <c r="Z35" s="30"/>
      <c r="AA35" s="30"/>
    </row>
    <row r="36" spans="1:27" s="116" customFormat="1" ht="16.2" thickBot="1" x14ac:dyDescent="0.35">
      <c r="A36" s="113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3"/>
      <c r="T36" s="113"/>
      <c r="U36" s="113"/>
      <c r="V36" s="113"/>
      <c r="W36" s="113"/>
      <c r="X36" s="113"/>
      <c r="Y36" s="113"/>
      <c r="Z36" s="113"/>
      <c r="AA36" s="113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60"/>
      <c r="S37" s="16"/>
    </row>
    <row r="38" spans="1:27" s="6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60"/>
      <c r="S38" s="16"/>
    </row>
    <row r="39" spans="1:27" s="3" customFormat="1" x14ac:dyDescent="0.3">
      <c r="A39" s="8" t="s">
        <v>171</v>
      </c>
      <c r="B39" s="9">
        <f>AVERAGE(B4,B11,B18,B25,B32)</f>
        <v>86.804000000000002</v>
      </c>
      <c r="C39" s="9">
        <f>_xlfn.STDEV.S(B4,B11,B18,B25,B32)</f>
        <v>0.47384596653342881</v>
      </c>
      <c r="D39" s="9">
        <f>MIN(D4,D11,D18,D25,D32)</f>
        <v>37.299999999999997</v>
      </c>
      <c r="E39" s="9">
        <f>MAX(E4,E11,E18,E25,E32)</f>
        <v>100.3</v>
      </c>
      <c r="F39" s="9">
        <f t="shared" ref="F39:N39" si="0">AVERAGE(F4,F11,F18,F25,F32)</f>
        <v>80.335999999999984</v>
      </c>
      <c r="G39" s="9">
        <f>_xlfn.STDEV.S(F4,F11,F18,F25,F32)</f>
        <v>1.5339589303498293</v>
      </c>
      <c r="H39" s="9">
        <f>MIN(H4,H11,H18,H25,H32)</f>
        <v>68.709999999999994</v>
      </c>
      <c r="I39" s="9">
        <f>MAX(I4,I11,I18,I25,I32)</f>
        <v>90.99</v>
      </c>
      <c r="J39" s="9">
        <f t="shared" si="0"/>
        <v>6.6139999999999999</v>
      </c>
      <c r="K39" s="9">
        <f>_xlfn.STDEV.S(J4,J11,J18,J25,J32)</f>
        <v>0.82169337346725912</v>
      </c>
      <c r="L39" s="9">
        <f>MIN(L4,L11,L18,L25,L32)</f>
        <v>0</v>
      </c>
      <c r="M39" s="9">
        <f>MAX(M4,M11,M18,M25,M32)</f>
        <v>16.38</v>
      </c>
      <c r="N39" s="9">
        <f t="shared" si="0"/>
        <v>59.990000000000009</v>
      </c>
      <c r="O39" s="9">
        <f>_xlfn.STDEV.S(N4,N11,N18,N25,N32)</f>
        <v>7.0710678118665812E-3</v>
      </c>
      <c r="P39" s="9">
        <f>MIN(P4,P11,P18,P25,P32)</f>
        <v>59</v>
      </c>
      <c r="Q39" s="9">
        <f>MAX(Q4,Q11,Q18,Q25,Q32)</f>
        <v>60</v>
      </c>
      <c r="R39" s="60"/>
      <c r="S39" s="51"/>
    </row>
    <row r="40" spans="1:27" s="3" customFormat="1" x14ac:dyDescent="0.3">
      <c r="A40" s="8" t="s">
        <v>9</v>
      </c>
      <c r="B40" s="9">
        <f t="shared" ref="B40:N42" si="1">AVERAGE(B5,B12,B19,B26,B33)</f>
        <v>83.477999999999994</v>
      </c>
      <c r="C40" s="9">
        <f t="shared" ref="C40:C42" si="2">_xlfn.STDEV.S(B5,B12,B19,B26,B33)</f>
        <v>1.0453803135701378</v>
      </c>
      <c r="D40" s="9">
        <f t="shared" ref="D40:D42" si="3">MIN(D5,D12,D19,D26,D33)</f>
        <v>35.700000000000003</v>
      </c>
      <c r="E40" s="9">
        <f t="shared" ref="E40:E42" si="4">MAX(E5,E12,E19,E26,E33)</f>
        <v>101.3</v>
      </c>
      <c r="F40" s="9">
        <f t="shared" si="1"/>
        <v>78.19</v>
      </c>
      <c r="G40" s="9">
        <f t="shared" ref="G40:G42" si="5">_xlfn.STDEV.S(F5,F12,F19,F26,F33)</f>
        <v>0.73600271738628731</v>
      </c>
      <c r="H40" s="9">
        <f t="shared" ref="H40:H42" si="6">MIN(H5,H12,H19,H26,H33)</f>
        <v>68.349999999999994</v>
      </c>
      <c r="I40" s="9">
        <f t="shared" ref="I40:I42" si="7">MAX(I5,I12,I19,I26,I33)</f>
        <v>87.84</v>
      </c>
      <c r="J40" s="9">
        <f t="shared" si="1"/>
        <v>7.3340000000000005</v>
      </c>
      <c r="K40" s="9">
        <f t="shared" ref="K40:K42" si="8">_xlfn.STDEV.S(J5,J12,J19,J26,J33)</f>
        <v>0.42264642433126076</v>
      </c>
      <c r="L40" s="9">
        <f t="shared" ref="L40:L42" si="9">MIN(L5,L12,L19,L26,L33)</f>
        <v>0</v>
      </c>
      <c r="M40" s="9">
        <f t="shared" ref="M40:M42" si="10">MAX(M5,M12,M19,M26,M33)</f>
        <v>16.63</v>
      </c>
      <c r="N40" s="9">
        <f t="shared" si="1"/>
        <v>59.990000000000009</v>
      </c>
      <c r="O40" s="9">
        <f t="shared" ref="O40:O42" si="11">_xlfn.STDEV.S(N5,N12,N19,N26,N33)</f>
        <v>7.0710678118665812E-3</v>
      </c>
      <c r="P40" s="9">
        <f t="shared" ref="P40:P42" si="12">MIN(P5,P12,P19,P26,P33)</f>
        <v>59</v>
      </c>
      <c r="Q40" s="9">
        <f t="shared" ref="Q40:Q42" si="13">MAX(Q5,Q12,Q19,Q26,Q33)</f>
        <v>60</v>
      </c>
      <c r="R40" s="60"/>
      <c r="S40" s="51"/>
    </row>
    <row r="41" spans="1:27" s="3" customFormat="1" x14ac:dyDescent="0.3">
      <c r="A41" s="8" t="s">
        <v>11</v>
      </c>
      <c r="B41" s="9">
        <f t="shared" si="1"/>
        <v>85.385999999999996</v>
      </c>
      <c r="C41" s="9">
        <f t="shared" si="2"/>
        <v>1.7300520223392144</v>
      </c>
      <c r="D41" s="9">
        <f t="shared" si="3"/>
        <v>39.6</v>
      </c>
      <c r="E41" s="9">
        <f t="shared" si="4"/>
        <v>179.5</v>
      </c>
      <c r="F41" s="9">
        <f t="shared" si="1"/>
        <v>129.59399999999999</v>
      </c>
      <c r="G41" s="9">
        <f t="shared" si="5"/>
        <v>4.3419557805210385</v>
      </c>
      <c r="H41" s="9">
        <f t="shared" si="6"/>
        <v>121</v>
      </c>
      <c r="I41" s="9">
        <f t="shared" si="7"/>
        <v>140.30000000000001</v>
      </c>
      <c r="J41" s="9">
        <f t="shared" si="1"/>
        <v>1.19</v>
      </c>
      <c r="K41" s="9">
        <f t="shared" si="8"/>
        <v>0.65015382795150856</v>
      </c>
      <c r="L41" s="9">
        <f t="shared" si="9"/>
        <v>0</v>
      </c>
      <c r="M41" s="9">
        <f t="shared" si="10"/>
        <v>6.2</v>
      </c>
      <c r="N41" s="9">
        <f t="shared" si="1"/>
        <v>59.936</v>
      </c>
      <c r="O41" s="9">
        <f t="shared" si="11"/>
        <v>1.1401754250991294E-2</v>
      </c>
      <c r="P41" s="9">
        <f t="shared" si="12"/>
        <v>58</v>
      </c>
      <c r="Q41" s="9">
        <f t="shared" si="13"/>
        <v>60</v>
      </c>
      <c r="R41" s="60"/>
      <c r="S41" s="51"/>
    </row>
    <row r="42" spans="1:27" s="3" customFormat="1" ht="16.2" thickBot="1" x14ac:dyDescent="0.35">
      <c r="A42" s="11" t="s">
        <v>172</v>
      </c>
      <c r="B42" s="9">
        <f t="shared" si="1"/>
        <v>82.102000000000004</v>
      </c>
      <c r="C42" s="9">
        <f t="shared" si="2"/>
        <v>1.1336313333707746</v>
      </c>
      <c r="D42" s="9">
        <f t="shared" si="3"/>
        <v>36.700000000000003</v>
      </c>
      <c r="E42" s="9">
        <f t="shared" si="4"/>
        <v>102.5</v>
      </c>
      <c r="F42" s="9">
        <f t="shared" si="1"/>
        <v>99.448000000000008</v>
      </c>
      <c r="G42" s="9">
        <f t="shared" si="5"/>
        <v>2.3312807638720825</v>
      </c>
      <c r="H42" s="9">
        <f t="shared" si="6"/>
        <v>89.26</v>
      </c>
      <c r="I42" s="9">
        <f t="shared" si="7"/>
        <v>108.72</v>
      </c>
      <c r="J42" s="9">
        <f t="shared" si="1"/>
        <v>5.1519999999999992</v>
      </c>
      <c r="K42" s="9">
        <f t="shared" si="8"/>
        <v>1.6183232062848276</v>
      </c>
      <c r="L42" s="9">
        <f t="shared" si="9"/>
        <v>0</v>
      </c>
      <c r="M42" s="9">
        <f t="shared" si="10"/>
        <v>13.13</v>
      </c>
      <c r="N42" s="9">
        <f t="shared" si="1"/>
        <v>59.936</v>
      </c>
      <c r="O42" s="9">
        <f t="shared" si="11"/>
        <v>8.9442719100001605E-3</v>
      </c>
      <c r="P42" s="9">
        <f t="shared" si="12"/>
        <v>58</v>
      </c>
      <c r="Q42" s="9">
        <f t="shared" si="13"/>
        <v>61</v>
      </c>
      <c r="R42" s="60"/>
      <c r="S42" s="51"/>
    </row>
    <row r="44" spans="1:27" x14ac:dyDescent="0.3">
      <c r="A44" s="20"/>
    </row>
  </sheetData>
  <mergeCells count="35">
    <mergeCell ref="A8:XFD8"/>
    <mergeCell ref="A15:XFD15"/>
    <mergeCell ref="A22:XFD22"/>
    <mergeCell ref="A37:A38"/>
    <mergeCell ref="B37:E37"/>
    <mergeCell ref="F37:I37"/>
    <mergeCell ref="J37:M37"/>
    <mergeCell ref="N37:Q37"/>
    <mergeCell ref="A36:XFD36"/>
    <mergeCell ref="A29:XFD29"/>
    <mergeCell ref="A9:A10"/>
    <mergeCell ref="B9:E9"/>
    <mergeCell ref="F9:I9"/>
    <mergeCell ref="J9:M9"/>
    <mergeCell ref="N9:Q9"/>
    <mergeCell ref="A23:A24"/>
    <mergeCell ref="A2:A3"/>
    <mergeCell ref="B2:E2"/>
    <mergeCell ref="F2:I2"/>
    <mergeCell ref="J2:M2"/>
    <mergeCell ref="N2:Q2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19" workbookViewId="0">
      <selection activeCell="A36" sqref="A36:XFD36"/>
    </sheetView>
  </sheetViews>
  <sheetFormatPr defaultRowHeight="15.6" x14ac:dyDescent="0.3"/>
  <cols>
    <col min="1" max="1" width="21" style="41" customWidth="1"/>
    <col min="2" max="17" width="8.88671875" style="42"/>
    <col min="18" max="18" width="42.5546875" style="2" customWidth="1"/>
    <col min="19" max="16384" width="8.88671875" style="42"/>
  </cols>
  <sheetData>
    <row r="1" spans="1:27" s="36" customFormat="1" ht="16.2" thickBot="1" x14ac:dyDescent="0.35">
      <c r="A1" s="35"/>
      <c r="R1" s="37"/>
      <c r="S1" s="38"/>
    </row>
    <row r="2" spans="1:27" s="39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9" t="s">
        <v>164</v>
      </c>
      <c r="S2" s="10"/>
    </row>
    <row r="3" spans="1:27" s="9" customFormat="1" ht="15.6" customHeight="1" x14ac:dyDescent="0.3">
      <c r="A3" s="72"/>
      <c r="B3" s="7" t="s">
        <v>4</v>
      </c>
      <c r="C3" s="18" t="s">
        <v>5</v>
      </c>
      <c r="D3" s="18" t="s">
        <v>6</v>
      </c>
      <c r="E3" s="18" t="s">
        <v>7</v>
      </c>
      <c r="F3" s="7" t="s">
        <v>4</v>
      </c>
      <c r="G3" s="18" t="s">
        <v>5</v>
      </c>
      <c r="H3" s="18" t="s">
        <v>6</v>
      </c>
      <c r="I3" s="18" t="s">
        <v>7</v>
      </c>
      <c r="J3" s="7" t="s">
        <v>4</v>
      </c>
      <c r="K3" s="18" t="s">
        <v>5</v>
      </c>
      <c r="L3" s="18" t="s">
        <v>6</v>
      </c>
      <c r="M3" s="18" t="s">
        <v>7</v>
      </c>
      <c r="N3" s="7" t="s">
        <v>4</v>
      </c>
      <c r="O3" s="18" t="s">
        <v>5</v>
      </c>
      <c r="P3" s="18" t="s">
        <v>6</v>
      </c>
      <c r="Q3" s="18" t="s">
        <v>7</v>
      </c>
      <c r="R3" s="18" t="s">
        <v>170</v>
      </c>
      <c r="S3" s="10" t="s">
        <v>49</v>
      </c>
    </row>
    <row r="4" spans="1:27" s="9" customFormat="1" x14ac:dyDescent="0.3">
      <c r="A4" s="64" t="s">
        <v>171</v>
      </c>
      <c r="B4" s="9">
        <v>73.37</v>
      </c>
      <c r="C4" s="9">
        <v>9.86</v>
      </c>
      <c r="D4" s="9">
        <v>38.299999999999997</v>
      </c>
      <c r="E4" s="9">
        <v>101.1</v>
      </c>
      <c r="F4" s="9">
        <v>73.099999999999994</v>
      </c>
      <c r="G4" s="9">
        <v>2.08</v>
      </c>
      <c r="H4" s="9">
        <v>70.78</v>
      </c>
      <c r="I4" s="9">
        <v>77.430000000000007</v>
      </c>
      <c r="J4" s="9">
        <v>0.25</v>
      </c>
      <c r="K4" s="9">
        <v>0.54</v>
      </c>
      <c r="L4" s="9">
        <v>0</v>
      </c>
      <c r="M4" s="9">
        <v>1.82</v>
      </c>
      <c r="N4" s="9">
        <v>60</v>
      </c>
      <c r="O4" s="9">
        <v>0</v>
      </c>
      <c r="P4" s="9">
        <v>60</v>
      </c>
      <c r="Q4" s="9">
        <v>60</v>
      </c>
      <c r="R4" s="9">
        <v>20</v>
      </c>
      <c r="S4" s="10" t="s">
        <v>50</v>
      </c>
    </row>
    <row r="5" spans="1:27" s="9" customFormat="1" x14ac:dyDescent="0.3">
      <c r="A5" s="64" t="s">
        <v>9</v>
      </c>
      <c r="B5" s="9">
        <v>61.54</v>
      </c>
      <c r="C5" s="9">
        <v>7.55</v>
      </c>
      <c r="D5" s="9">
        <v>30</v>
      </c>
      <c r="E5" s="9">
        <v>90.8</v>
      </c>
      <c r="F5" s="9">
        <v>62.59</v>
      </c>
      <c r="G5" s="9">
        <v>0.96</v>
      </c>
      <c r="H5" s="9">
        <v>60.65</v>
      </c>
      <c r="I5" s="9">
        <v>64.19</v>
      </c>
      <c r="J5" s="9">
        <v>0.3</v>
      </c>
      <c r="K5" s="9">
        <v>0.34</v>
      </c>
      <c r="L5" s="9">
        <v>0</v>
      </c>
      <c r="M5" s="9">
        <v>1.48</v>
      </c>
      <c r="N5" s="9">
        <v>59.95</v>
      </c>
      <c r="O5" s="9">
        <v>0.4</v>
      </c>
      <c r="P5" s="9">
        <v>56</v>
      </c>
      <c r="Q5" s="9">
        <v>60</v>
      </c>
      <c r="R5" s="9">
        <v>30</v>
      </c>
      <c r="S5" s="10" t="s">
        <v>51</v>
      </c>
    </row>
    <row r="6" spans="1:27" s="9" customFormat="1" ht="16.2" thickBot="1" x14ac:dyDescent="0.35">
      <c r="A6" s="64" t="s">
        <v>11</v>
      </c>
      <c r="B6" s="9">
        <v>77.75</v>
      </c>
      <c r="C6" s="9">
        <v>9.17</v>
      </c>
      <c r="D6" s="9">
        <v>52.9</v>
      </c>
      <c r="E6" s="9">
        <v>128</v>
      </c>
      <c r="F6" s="61">
        <v>125.15</v>
      </c>
      <c r="G6" s="61">
        <v>1.63</v>
      </c>
      <c r="H6" s="61">
        <v>122.1</v>
      </c>
      <c r="I6" s="61">
        <v>128.69999999999999</v>
      </c>
      <c r="J6" s="61">
        <v>3.45</v>
      </c>
      <c r="K6" s="61">
        <v>1.63</v>
      </c>
      <c r="L6" s="61">
        <v>0.4</v>
      </c>
      <c r="M6" s="61">
        <v>7</v>
      </c>
      <c r="N6" s="61">
        <v>60</v>
      </c>
      <c r="O6" s="61">
        <v>0</v>
      </c>
      <c r="P6" s="61">
        <v>60</v>
      </c>
      <c r="Q6" s="61">
        <v>60</v>
      </c>
      <c r="R6" s="9">
        <v>24</v>
      </c>
      <c r="S6" s="13" t="s">
        <v>52</v>
      </c>
    </row>
    <row r="7" spans="1:27" s="14" customFormat="1" ht="16.2" thickBot="1" x14ac:dyDescent="0.35">
      <c r="A7" s="40" t="s">
        <v>172</v>
      </c>
      <c r="B7" s="12">
        <v>79.56</v>
      </c>
      <c r="C7" s="12">
        <v>14.23</v>
      </c>
      <c r="D7" s="12">
        <v>45.7</v>
      </c>
      <c r="E7" s="12">
        <v>146</v>
      </c>
      <c r="F7" s="12">
        <v>82.58</v>
      </c>
      <c r="G7" s="12">
        <v>2.2000000000000002</v>
      </c>
      <c r="H7" s="12">
        <v>76.66</v>
      </c>
      <c r="I7" s="12">
        <v>86.19</v>
      </c>
      <c r="J7" s="12">
        <v>4.97</v>
      </c>
      <c r="K7" s="12">
        <v>2.16</v>
      </c>
      <c r="L7" s="12">
        <v>0</v>
      </c>
      <c r="M7" s="12">
        <v>8.56</v>
      </c>
      <c r="N7" s="12">
        <v>59.33</v>
      </c>
      <c r="O7" s="12">
        <v>1.87</v>
      </c>
      <c r="P7" s="12">
        <v>51</v>
      </c>
      <c r="Q7" s="12">
        <v>62</v>
      </c>
      <c r="R7" s="14">
        <v>30</v>
      </c>
      <c r="S7" s="12"/>
      <c r="T7" s="12"/>
      <c r="U7" s="12"/>
      <c r="V7" s="12"/>
      <c r="W7" s="12"/>
      <c r="X7" s="12"/>
      <c r="Y7" s="12"/>
      <c r="Z7" s="12"/>
      <c r="AA7" s="12"/>
    </row>
    <row r="8" spans="1:27" s="94" customFormat="1" ht="16.2" thickBot="1" x14ac:dyDescent="0.35">
      <c r="A8" s="92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3"/>
    </row>
    <row r="9" spans="1:27" s="39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9" t="s">
        <v>164</v>
      </c>
      <c r="S9" s="38"/>
    </row>
    <row r="10" spans="1:27" s="9" customFormat="1" x14ac:dyDescent="0.3">
      <c r="A10" s="72"/>
      <c r="B10" s="7" t="s">
        <v>4</v>
      </c>
      <c r="C10" s="18" t="s">
        <v>5</v>
      </c>
      <c r="D10" s="18" t="s">
        <v>6</v>
      </c>
      <c r="E10" s="18" t="s">
        <v>7</v>
      </c>
      <c r="F10" s="7" t="s">
        <v>4</v>
      </c>
      <c r="G10" s="18" t="s">
        <v>5</v>
      </c>
      <c r="H10" s="18" t="s">
        <v>6</v>
      </c>
      <c r="I10" s="18" t="s">
        <v>7</v>
      </c>
      <c r="J10" s="7" t="s">
        <v>4</v>
      </c>
      <c r="K10" s="18" t="s">
        <v>5</v>
      </c>
      <c r="L10" s="18" t="s">
        <v>6</v>
      </c>
      <c r="M10" s="18" t="s">
        <v>7</v>
      </c>
      <c r="N10" s="7" t="s">
        <v>4</v>
      </c>
      <c r="O10" s="18" t="s">
        <v>5</v>
      </c>
      <c r="P10" s="18" t="s">
        <v>6</v>
      </c>
      <c r="Q10" s="18" t="s">
        <v>7</v>
      </c>
      <c r="R10" s="18" t="s">
        <v>170</v>
      </c>
      <c r="S10" s="10"/>
    </row>
    <row r="11" spans="1:27" s="9" customFormat="1" x14ac:dyDescent="0.3">
      <c r="A11" s="64" t="s">
        <v>171</v>
      </c>
      <c r="B11" s="9">
        <v>61.28</v>
      </c>
      <c r="C11" s="9">
        <v>10.56</v>
      </c>
      <c r="D11" s="9">
        <v>31.9</v>
      </c>
      <c r="E11" s="9">
        <v>90.9</v>
      </c>
      <c r="F11" s="61">
        <v>64.94</v>
      </c>
      <c r="G11" s="61">
        <v>1.38</v>
      </c>
      <c r="H11" s="61">
        <v>63.11</v>
      </c>
      <c r="I11" s="61">
        <v>67.95</v>
      </c>
      <c r="J11" s="61">
        <v>0.57999999999999996</v>
      </c>
      <c r="K11" s="61">
        <v>1</v>
      </c>
      <c r="L11" s="61">
        <v>0</v>
      </c>
      <c r="M11" s="61">
        <v>3.02</v>
      </c>
      <c r="N11" s="61">
        <v>60</v>
      </c>
      <c r="O11" s="61">
        <v>0</v>
      </c>
      <c r="P11" s="61">
        <v>60</v>
      </c>
      <c r="Q11" s="61">
        <v>60</v>
      </c>
      <c r="R11" s="9">
        <v>29</v>
      </c>
      <c r="S11" s="10" t="s">
        <v>53</v>
      </c>
    </row>
    <row r="12" spans="1:27" s="9" customFormat="1" x14ac:dyDescent="0.3">
      <c r="A12" s="64" t="s">
        <v>9</v>
      </c>
      <c r="B12" s="9">
        <v>57.09</v>
      </c>
      <c r="C12" s="9">
        <v>11.92</v>
      </c>
      <c r="D12" s="9">
        <v>22.5</v>
      </c>
      <c r="E12" s="9">
        <v>102.9</v>
      </c>
      <c r="F12" s="61">
        <v>74.239999999999995</v>
      </c>
      <c r="G12" s="61">
        <v>0.71</v>
      </c>
      <c r="H12" s="61">
        <v>73.08</v>
      </c>
      <c r="I12" s="61">
        <v>75.349999999999994</v>
      </c>
      <c r="J12" s="61">
        <v>2.2599999999999998</v>
      </c>
      <c r="K12" s="61">
        <v>0.71</v>
      </c>
      <c r="L12" s="61">
        <v>1.1000000000000001</v>
      </c>
      <c r="M12" s="61">
        <v>3.37</v>
      </c>
      <c r="N12" s="61">
        <v>60</v>
      </c>
      <c r="O12" s="61">
        <v>0</v>
      </c>
      <c r="P12" s="61">
        <v>60</v>
      </c>
      <c r="Q12" s="61">
        <v>60</v>
      </c>
      <c r="R12" s="9">
        <v>35</v>
      </c>
      <c r="S12" s="10" t="s">
        <v>54</v>
      </c>
    </row>
    <row r="13" spans="1:27" s="9" customFormat="1" x14ac:dyDescent="0.3">
      <c r="A13" s="64" t="s">
        <v>11</v>
      </c>
      <c r="B13" s="9">
        <v>75.28</v>
      </c>
      <c r="C13" s="9">
        <v>12.67</v>
      </c>
      <c r="D13" s="9">
        <v>43.2</v>
      </c>
      <c r="E13" s="9">
        <v>130.30000000000001</v>
      </c>
      <c r="F13" s="61">
        <v>120.8</v>
      </c>
      <c r="G13" s="61">
        <v>1.1200000000000001</v>
      </c>
      <c r="H13" s="61">
        <v>118</v>
      </c>
      <c r="I13" s="61">
        <v>123.1</v>
      </c>
      <c r="J13" s="61">
        <v>1.73</v>
      </c>
      <c r="K13" s="61">
        <v>1.05</v>
      </c>
      <c r="L13" s="61">
        <v>0</v>
      </c>
      <c r="M13" s="61">
        <v>4</v>
      </c>
      <c r="N13" s="61">
        <v>60</v>
      </c>
      <c r="O13" s="61">
        <v>0</v>
      </c>
      <c r="P13" s="61">
        <v>60</v>
      </c>
      <c r="Q13" s="61">
        <v>60</v>
      </c>
      <c r="R13" s="9">
        <v>26</v>
      </c>
      <c r="S13" s="10" t="s">
        <v>55</v>
      </c>
    </row>
    <row r="14" spans="1:27" s="14" customFormat="1" ht="16.2" customHeight="1" thickBot="1" x14ac:dyDescent="0.35">
      <c r="A14" s="40" t="s">
        <v>172</v>
      </c>
      <c r="B14" s="12">
        <v>70.599999999999994</v>
      </c>
      <c r="C14" s="12">
        <v>14.29</v>
      </c>
      <c r="D14" s="12">
        <v>35.700000000000003</v>
      </c>
      <c r="E14" s="12">
        <v>137</v>
      </c>
      <c r="F14" s="12">
        <v>104.61</v>
      </c>
      <c r="G14" s="12">
        <v>1.46</v>
      </c>
      <c r="H14" s="12">
        <v>102.68</v>
      </c>
      <c r="I14" s="12">
        <v>110.63</v>
      </c>
      <c r="J14" s="12">
        <v>3.5</v>
      </c>
      <c r="K14" s="12">
        <v>1.46</v>
      </c>
      <c r="L14" s="12">
        <v>1.57</v>
      </c>
      <c r="M14" s="12">
        <v>9.52</v>
      </c>
      <c r="N14" s="12">
        <v>59.81</v>
      </c>
      <c r="O14" s="12">
        <v>0.95</v>
      </c>
      <c r="P14" s="12">
        <v>56</v>
      </c>
      <c r="Q14" s="12">
        <v>62</v>
      </c>
      <c r="R14" s="14">
        <v>36</v>
      </c>
      <c r="S14" s="13" t="s">
        <v>56</v>
      </c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6.2" thickBot="1" x14ac:dyDescent="0.35">
      <c r="A15" s="92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3"/>
    </row>
    <row r="16" spans="1:27" s="39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39" t="s">
        <v>164</v>
      </c>
      <c r="S16" s="38"/>
    </row>
    <row r="17" spans="1:27" s="9" customFormat="1" x14ac:dyDescent="0.3">
      <c r="A17" s="72"/>
      <c r="B17" s="7" t="s">
        <v>4</v>
      </c>
      <c r="C17" s="18" t="s">
        <v>5</v>
      </c>
      <c r="D17" s="18" t="s">
        <v>6</v>
      </c>
      <c r="E17" s="18" t="s">
        <v>7</v>
      </c>
      <c r="F17" s="7" t="s">
        <v>4</v>
      </c>
      <c r="G17" s="18" t="s">
        <v>5</v>
      </c>
      <c r="H17" s="18" t="s">
        <v>6</v>
      </c>
      <c r="I17" s="18" t="s">
        <v>7</v>
      </c>
      <c r="J17" s="7" t="s">
        <v>4</v>
      </c>
      <c r="K17" s="18" t="s">
        <v>5</v>
      </c>
      <c r="L17" s="18" t="s">
        <v>6</v>
      </c>
      <c r="M17" s="18" t="s">
        <v>7</v>
      </c>
      <c r="N17" s="7" t="s">
        <v>4</v>
      </c>
      <c r="O17" s="18" t="s">
        <v>5</v>
      </c>
      <c r="P17" s="18" t="s">
        <v>6</v>
      </c>
      <c r="Q17" s="18" t="s">
        <v>7</v>
      </c>
      <c r="R17" s="18" t="s">
        <v>170</v>
      </c>
      <c r="S17" s="10"/>
    </row>
    <row r="18" spans="1:27" s="9" customFormat="1" x14ac:dyDescent="0.3">
      <c r="A18" s="64" t="s">
        <v>171</v>
      </c>
      <c r="B18" s="9">
        <v>66.87</v>
      </c>
      <c r="C18" s="9">
        <v>11.47</v>
      </c>
      <c r="D18" s="9">
        <v>39.799999999999997</v>
      </c>
      <c r="E18" s="9">
        <v>108.8</v>
      </c>
      <c r="F18" s="61">
        <v>64.489999999999995</v>
      </c>
      <c r="G18" s="61">
        <v>2.2599999999999998</v>
      </c>
      <c r="H18" s="61">
        <v>61.73</v>
      </c>
      <c r="I18" s="61">
        <v>68.7</v>
      </c>
      <c r="J18" s="61">
        <v>1.25</v>
      </c>
      <c r="K18" s="61">
        <v>1.3</v>
      </c>
      <c r="L18" s="61">
        <v>0</v>
      </c>
      <c r="M18" s="61">
        <v>4.55</v>
      </c>
      <c r="N18" s="61">
        <v>60</v>
      </c>
      <c r="O18" s="61">
        <v>0</v>
      </c>
      <c r="P18" s="61">
        <v>60</v>
      </c>
      <c r="Q18" s="61">
        <v>60</v>
      </c>
      <c r="R18" s="9">
        <v>24</v>
      </c>
      <c r="S18" s="10" t="s">
        <v>57</v>
      </c>
    </row>
    <row r="19" spans="1:27" s="9" customFormat="1" x14ac:dyDescent="0.3">
      <c r="A19" s="64" t="s">
        <v>9</v>
      </c>
      <c r="B19" s="59">
        <v>59.63</v>
      </c>
      <c r="C19" s="9">
        <v>11.17</v>
      </c>
      <c r="D19" s="9">
        <v>21.4</v>
      </c>
      <c r="E19" s="9">
        <v>95.7</v>
      </c>
      <c r="F19" s="9">
        <v>63</v>
      </c>
      <c r="G19" s="9">
        <v>1.34</v>
      </c>
      <c r="H19" s="9">
        <v>61.71</v>
      </c>
      <c r="I19" s="9">
        <v>66.2</v>
      </c>
      <c r="J19" s="9">
        <v>0.22</v>
      </c>
      <c r="K19" s="9">
        <v>0.47</v>
      </c>
      <c r="L19" s="9">
        <v>0</v>
      </c>
      <c r="M19" s="9">
        <v>1.79</v>
      </c>
      <c r="N19" s="9">
        <v>59.99</v>
      </c>
      <c r="O19" s="9">
        <v>0.09</v>
      </c>
      <c r="P19" s="9">
        <v>59</v>
      </c>
      <c r="Q19" s="9">
        <v>60</v>
      </c>
      <c r="R19" s="9">
        <v>32</v>
      </c>
      <c r="S19" s="10" t="s">
        <v>58</v>
      </c>
    </row>
    <row r="20" spans="1:27" s="9" customFormat="1" x14ac:dyDescent="0.3">
      <c r="A20" s="64" t="s">
        <v>11</v>
      </c>
      <c r="B20" s="19">
        <v>73.599999999999994</v>
      </c>
      <c r="C20" s="19">
        <v>12.8</v>
      </c>
      <c r="D20" s="19">
        <v>38.700000000000003</v>
      </c>
      <c r="E20" s="19">
        <v>166.9</v>
      </c>
      <c r="F20" s="19">
        <v>129.4</v>
      </c>
      <c r="G20" s="19">
        <v>1.98</v>
      </c>
      <c r="H20" s="19">
        <v>125.5</v>
      </c>
      <c r="I20" s="19">
        <v>132.9</v>
      </c>
      <c r="J20" s="19">
        <v>1.21</v>
      </c>
      <c r="K20" s="19">
        <v>1.08</v>
      </c>
      <c r="L20" s="19">
        <v>0</v>
      </c>
      <c r="M20" s="19">
        <v>4.0999999999999996</v>
      </c>
      <c r="N20" s="19">
        <v>60</v>
      </c>
      <c r="O20" s="19">
        <v>0</v>
      </c>
      <c r="P20" s="19">
        <v>60</v>
      </c>
      <c r="Q20" s="19">
        <v>60</v>
      </c>
      <c r="R20" s="9">
        <v>33</v>
      </c>
      <c r="S20" s="10" t="s">
        <v>59</v>
      </c>
      <c r="T20" s="19"/>
      <c r="U20" s="19"/>
      <c r="V20" s="19"/>
      <c r="W20" s="19"/>
      <c r="X20" s="19"/>
      <c r="Y20" s="19"/>
      <c r="Z20" s="19"/>
      <c r="AA20" s="19"/>
    </row>
    <row r="21" spans="1:27" s="14" customFormat="1" ht="16.2" thickBot="1" x14ac:dyDescent="0.35">
      <c r="A21" s="40" t="s">
        <v>172</v>
      </c>
      <c r="B21" s="12">
        <v>71.180000000000007</v>
      </c>
      <c r="C21" s="12">
        <v>15.48</v>
      </c>
      <c r="D21" s="12">
        <v>21.4</v>
      </c>
      <c r="E21" s="12">
        <v>137.4</v>
      </c>
      <c r="F21" s="12">
        <v>84.6</v>
      </c>
      <c r="G21" s="12">
        <v>1.99</v>
      </c>
      <c r="H21" s="12">
        <v>81.599999999999994</v>
      </c>
      <c r="I21" s="12">
        <v>88.19</v>
      </c>
      <c r="J21" s="12">
        <v>2.4300000000000002</v>
      </c>
      <c r="K21" s="12">
        <v>1.93</v>
      </c>
      <c r="L21" s="12">
        <v>0</v>
      </c>
      <c r="M21" s="12">
        <v>5.97</v>
      </c>
      <c r="N21" s="12">
        <v>59.73</v>
      </c>
      <c r="O21" s="12">
        <v>1.21</v>
      </c>
      <c r="P21" s="12">
        <v>55</v>
      </c>
      <c r="Q21" s="12">
        <v>63</v>
      </c>
      <c r="R21" s="14">
        <v>40</v>
      </c>
      <c r="S21" s="13" t="s">
        <v>60</v>
      </c>
      <c r="T21" s="12"/>
      <c r="U21" s="12"/>
      <c r="V21" s="12"/>
      <c r="W21" s="12"/>
      <c r="X21" s="12"/>
      <c r="Y21" s="12"/>
      <c r="Z21" s="12"/>
      <c r="AA21" s="12"/>
    </row>
    <row r="22" spans="1:27" s="94" customFormat="1" ht="16.2" thickBot="1" x14ac:dyDescent="0.35">
      <c r="A22" s="92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3"/>
    </row>
    <row r="23" spans="1:27" s="39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39" t="s">
        <v>164</v>
      </c>
      <c r="S23" s="38"/>
    </row>
    <row r="24" spans="1:27" s="9" customFormat="1" x14ac:dyDescent="0.3">
      <c r="A24" s="82"/>
      <c r="B24" s="7" t="s">
        <v>4</v>
      </c>
      <c r="C24" s="18" t="s">
        <v>5</v>
      </c>
      <c r="D24" s="18" t="s">
        <v>6</v>
      </c>
      <c r="E24" s="18" t="s">
        <v>7</v>
      </c>
      <c r="F24" s="7" t="s">
        <v>4</v>
      </c>
      <c r="G24" s="18" t="s">
        <v>5</v>
      </c>
      <c r="H24" s="18" t="s">
        <v>6</v>
      </c>
      <c r="I24" s="18" t="s">
        <v>7</v>
      </c>
      <c r="J24" s="7" t="s">
        <v>4</v>
      </c>
      <c r="K24" s="18" t="s">
        <v>5</v>
      </c>
      <c r="L24" s="18" t="s">
        <v>6</v>
      </c>
      <c r="M24" s="18" t="s">
        <v>7</v>
      </c>
      <c r="N24" s="7" t="s">
        <v>4</v>
      </c>
      <c r="O24" s="18" t="s">
        <v>5</v>
      </c>
      <c r="P24" s="18" t="s">
        <v>6</v>
      </c>
      <c r="Q24" s="18" t="s">
        <v>7</v>
      </c>
      <c r="R24" s="18" t="s">
        <v>170</v>
      </c>
      <c r="S24" s="10"/>
    </row>
    <row r="25" spans="1:27" s="9" customFormat="1" x14ac:dyDescent="0.3">
      <c r="A25" s="64" t="s">
        <v>171</v>
      </c>
      <c r="B25" s="19">
        <v>63.13</v>
      </c>
      <c r="C25" s="19">
        <v>11.45</v>
      </c>
      <c r="D25" s="19">
        <v>31.9</v>
      </c>
      <c r="E25" s="19">
        <v>111.8</v>
      </c>
      <c r="F25" s="19">
        <v>63.57</v>
      </c>
      <c r="G25" s="19">
        <v>0.66</v>
      </c>
      <c r="H25" s="19">
        <v>62.53</v>
      </c>
      <c r="I25" s="19">
        <v>65.03</v>
      </c>
      <c r="J25" s="19">
        <v>0.87</v>
      </c>
      <c r="K25" s="19">
        <v>0.65</v>
      </c>
      <c r="L25" s="19">
        <v>0</v>
      </c>
      <c r="M25" s="19">
        <v>2.3199999999999998</v>
      </c>
      <c r="N25" s="19">
        <v>60</v>
      </c>
      <c r="O25" s="19">
        <v>0</v>
      </c>
      <c r="P25" s="19">
        <v>60</v>
      </c>
      <c r="Q25" s="19">
        <v>60</v>
      </c>
      <c r="R25" s="9">
        <v>26</v>
      </c>
      <c r="S25" s="10" t="s">
        <v>61</v>
      </c>
      <c r="T25" s="19"/>
      <c r="U25" s="19"/>
      <c r="V25" s="19"/>
      <c r="W25" s="19"/>
      <c r="X25" s="19"/>
      <c r="Y25" s="19"/>
      <c r="Z25" s="19"/>
      <c r="AA25" s="19"/>
    </row>
    <row r="26" spans="1:27" s="9" customFormat="1" x14ac:dyDescent="0.3">
      <c r="A26" s="64" t="s">
        <v>9</v>
      </c>
      <c r="B26" s="9">
        <v>61.31</v>
      </c>
      <c r="C26" s="9">
        <v>11.1</v>
      </c>
      <c r="D26" s="9">
        <v>28.1</v>
      </c>
      <c r="E26" s="9">
        <v>111.9</v>
      </c>
      <c r="F26" s="61">
        <v>59.98</v>
      </c>
      <c r="G26" s="61">
        <v>0.44</v>
      </c>
      <c r="H26" s="61">
        <v>58.69</v>
      </c>
      <c r="I26" s="61">
        <v>61.87</v>
      </c>
      <c r="J26" s="61">
        <v>1.18</v>
      </c>
      <c r="K26" s="61">
        <v>0.43</v>
      </c>
      <c r="L26" s="61">
        <v>0</v>
      </c>
      <c r="M26" s="61">
        <v>3.06</v>
      </c>
      <c r="N26" s="61">
        <v>59.91</v>
      </c>
      <c r="O26" s="61">
        <v>0.42</v>
      </c>
      <c r="P26" s="61">
        <v>56</v>
      </c>
      <c r="Q26" s="61">
        <v>60</v>
      </c>
      <c r="R26" s="9">
        <v>33</v>
      </c>
      <c r="S26" s="10" t="s">
        <v>62</v>
      </c>
      <c r="T26" s="19"/>
      <c r="U26" s="19"/>
      <c r="V26" s="19"/>
      <c r="W26" s="19"/>
      <c r="X26" s="19"/>
      <c r="Y26" s="19"/>
      <c r="Z26" s="19"/>
      <c r="AA26" s="19"/>
    </row>
    <row r="27" spans="1:27" s="9" customFormat="1" x14ac:dyDescent="0.3">
      <c r="A27" s="64" t="s">
        <v>11</v>
      </c>
      <c r="B27" s="19">
        <v>71.739999999999995</v>
      </c>
      <c r="C27" s="19">
        <v>10.57</v>
      </c>
      <c r="D27" s="19">
        <v>42</v>
      </c>
      <c r="E27" s="19">
        <v>131.6</v>
      </c>
      <c r="F27" s="19">
        <v>118.99</v>
      </c>
      <c r="G27" s="19">
        <v>1.37</v>
      </c>
      <c r="H27" s="19">
        <v>116.6</v>
      </c>
      <c r="I27" s="19">
        <v>122.7</v>
      </c>
      <c r="J27" s="19">
        <v>0.38</v>
      </c>
      <c r="K27" s="19">
        <v>0.78</v>
      </c>
      <c r="L27" s="19">
        <v>0</v>
      </c>
      <c r="M27" s="19">
        <v>3.3</v>
      </c>
      <c r="N27" s="19">
        <v>60</v>
      </c>
      <c r="O27" s="19">
        <v>0</v>
      </c>
      <c r="P27" s="19">
        <v>60</v>
      </c>
      <c r="Q27" s="19">
        <v>60</v>
      </c>
      <c r="R27" s="9">
        <v>34</v>
      </c>
      <c r="S27" s="10" t="s">
        <v>63</v>
      </c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6.2" thickBot="1" x14ac:dyDescent="0.35">
      <c r="A28" s="40" t="s">
        <v>172</v>
      </c>
      <c r="B28" s="12">
        <v>72.930000000000007</v>
      </c>
      <c r="C28" s="12">
        <v>13.85</v>
      </c>
      <c r="D28" s="12">
        <v>37.6</v>
      </c>
      <c r="E28" s="12">
        <v>119.1</v>
      </c>
      <c r="F28" s="12">
        <v>84.87</v>
      </c>
      <c r="G28" s="12">
        <v>2.44</v>
      </c>
      <c r="H28" s="12">
        <v>80.900000000000006</v>
      </c>
      <c r="I28" s="12">
        <v>90.15</v>
      </c>
      <c r="J28" s="12">
        <v>2.6</v>
      </c>
      <c r="K28" s="12">
        <v>2.08</v>
      </c>
      <c r="L28" s="12">
        <v>0</v>
      </c>
      <c r="M28" s="12">
        <v>7.61</v>
      </c>
      <c r="N28" s="12">
        <v>59.75</v>
      </c>
      <c r="O28" s="12">
        <v>1.18</v>
      </c>
      <c r="P28" s="12">
        <v>56</v>
      </c>
      <c r="Q28" s="12">
        <v>63</v>
      </c>
      <c r="R28" s="14">
        <v>33</v>
      </c>
      <c r="S28" s="13" t="s">
        <v>64</v>
      </c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6.2" thickBot="1" x14ac:dyDescent="0.3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3"/>
    </row>
    <row r="30" spans="1:27" s="39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9" t="s">
        <v>164</v>
      </c>
      <c r="S30" s="38"/>
    </row>
    <row r="31" spans="1:27" s="9" customFormat="1" x14ac:dyDescent="0.3">
      <c r="A31" s="72"/>
      <c r="B31" s="7" t="s">
        <v>4</v>
      </c>
      <c r="C31" s="18" t="s">
        <v>5</v>
      </c>
      <c r="D31" s="18" t="s">
        <v>6</v>
      </c>
      <c r="E31" s="18" t="s">
        <v>7</v>
      </c>
      <c r="F31" s="7" t="s">
        <v>4</v>
      </c>
      <c r="G31" s="18" t="s">
        <v>5</v>
      </c>
      <c r="H31" s="18" t="s">
        <v>6</v>
      </c>
      <c r="I31" s="18" t="s">
        <v>7</v>
      </c>
      <c r="J31" s="7" t="s">
        <v>4</v>
      </c>
      <c r="K31" s="18" t="s">
        <v>5</v>
      </c>
      <c r="L31" s="18" t="s">
        <v>6</v>
      </c>
      <c r="M31" s="18" t="s">
        <v>7</v>
      </c>
      <c r="N31" s="7" t="s">
        <v>4</v>
      </c>
      <c r="O31" s="18" t="s">
        <v>5</v>
      </c>
      <c r="P31" s="18" t="s">
        <v>6</v>
      </c>
      <c r="Q31" s="18" t="s">
        <v>7</v>
      </c>
      <c r="R31" s="18" t="s">
        <v>170</v>
      </c>
      <c r="S31" s="10"/>
    </row>
    <row r="32" spans="1:27" s="9" customFormat="1" x14ac:dyDescent="0.3">
      <c r="A32" s="64" t="s">
        <v>171</v>
      </c>
      <c r="B32" s="19">
        <v>63.69</v>
      </c>
      <c r="C32" s="19">
        <v>8.98</v>
      </c>
      <c r="D32" s="19">
        <v>30</v>
      </c>
      <c r="E32" s="19">
        <v>93.5</v>
      </c>
      <c r="F32" s="19">
        <v>63.42</v>
      </c>
      <c r="G32" s="19">
        <v>0.92</v>
      </c>
      <c r="H32" s="19">
        <v>62.55</v>
      </c>
      <c r="I32" s="19">
        <v>65.510000000000005</v>
      </c>
      <c r="J32" s="19">
        <v>0.39</v>
      </c>
      <c r="K32" s="19">
        <v>0.74</v>
      </c>
      <c r="L32" s="19">
        <v>0</v>
      </c>
      <c r="M32" s="19">
        <v>2.17</v>
      </c>
      <c r="N32" s="19">
        <v>59.99</v>
      </c>
      <c r="O32" s="19">
        <v>0.1</v>
      </c>
      <c r="P32" s="19">
        <v>59</v>
      </c>
      <c r="Q32" s="19">
        <v>60</v>
      </c>
      <c r="R32" s="9">
        <v>25</v>
      </c>
      <c r="S32" s="10" t="s">
        <v>65</v>
      </c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61.54</v>
      </c>
      <c r="C33" s="19">
        <v>7.55</v>
      </c>
      <c r="D33" s="19">
        <v>30</v>
      </c>
      <c r="E33" s="19">
        <v>90.8</v>
      </c>
      <c r="F33" s="19">
        <v>62.59</v>
      </c>
      <c r="G33" s="19">
        <v>0.96</v>
      </c>
      <c r="H33" s="19">
        <v>60.65</v>
      </c>
      <c r="I33" s="19">
        <v>64.19</v>
      </c>
      <c r="J33" s="19">
        <v>0.3</v>
      </c>
      <c r="K33" s="19">
        <v>0.34</v>
      </c>
      <c r="L33" s="19">
        <v>0</v>
      </c>
      <c r="M33" s="19">
        <v>1.48</v>
      </c>
      <c r="N33" s="19">
        <v>59.95</v>
      </c>
      <c r="O33" s="19">
        <v>0.4</v>
      </c>
      <c r="P33" s="19">
        <v>56</v>
      </c>
      <c r="Q33" s="19">
        <v>60</v>
      </c>
      <c r="R33" s="9">
        <v>30</v>
      </c>
      <c r="S33" s="10" t="s">
        <v>50</v>
      </c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71.88</v>
      </c>
      <c r="C34" s="19">
        <v>11.92</v>
      </c>
      <c r="D34" s="19">
        <v>35.6</v>
      </c>
      <c r="E34" s="19">
        <v>115.6</v>
      </c>
      <c r="F34" s="19">
        <v>130.63999999999999</v>
      </c>
      <c r="G34" s="19">
        <v>1.93</v>
      </c>
      <c r="H34" s="19">
        <v>125.5</v>
      </c>
      <c r="I34" s="19">
        <v>136.1</v>
      </c>
      <c r="J34" s="19">
        <v>1.32</v>
      </c>
      <c r="K34" s="19">
        <v>1.37</v>
      </c>
      <c r="L34" s="19">
        <v>0</v>
      </c>
      <c r="M34" s="19">
        <v>6.4</v>
      </c>
      <c r="N34" s="19">
        <v>59.89</v>
      </c>
      <c r="O34" s="19">
        <v>0.99</v>
      </c>
      <c r="P34" s="19">
        <v>49</v>
      </c>
      <c r="Q34" s="19">
        <v>60</v>
      </c>
      <c r="R34" s="9">
        <v>37</v>
      </c>
      <c r="S34" s="10" t="s">
        <v>66</v>
      </c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2">
        <v>73.86</v>
      </c>
      <c r="C35" s="12">
        <v>12.79</v>
      </c>
      <c r="D35" s="12">
        <v>38.4</v>
      </c>
      <c r="E35" s="12">
        <v>108.8</v>
      </c>
      <c r="F35" s="12">
        <v>95.11</v>
      </c>
      <c r="G35" s="12">
        <v>1.31</v>
      </c>
      <c r="H35" s="12">
        <v>92.56</v>
      </c>
      <c r="I35" s="12">
        <v>97.45</v>
      </c>
      <c r="J35" s="12">
        <v>2.13</v>
      </c>
      <c r="K35" s="12">
        <v>1.21</v>
      </c>
      <c r="L35" s="12">
        <v>0</v>
      </c>
      <c r="M35" s="12">
        <v>4.42</v>
      </c>
      <c r="N35" s="12">
        <v>59.82</v>
      </c>
      <c r="O35" s="12">
        <v>0.99</v>
      </c>
      <c r="P35" s="12">
        <v>56</v>
      </c>
      <c r="Q35" s="12">
        <v>63</v>
      </c>
      <c r="R35" s="14">
        <v>27</v>
      </c>
      <c r="S35" s="13" t="s">
        <v>160</v>
      </c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6.2" thickBot="1" x14ac:dyDescent="0.35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95" t="s">
        <v>168</v>
      </c>
      <c r="S37" s="16"/>
    </row>
    <row r="38" spans="1:27" s="6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96"/>
      <c r="S38" s="16"/>
    </row>
    <row r="39" spans="1:27" s="3" customFormat="1" x14ac:dyDescent="0.3">
      <c r="A39" s="8" t="s">
        <v>171</v>
      </c>
      <c r="B39" s="9">
        <f>AVERAGE(B4,B11,B18,B25,B32)</f>
        <v>65.668000000000006</v>
      </c>
      <c r="C39" s="9">
        <f>_xlfn.STDEV.S(B4,B11,B18,B25,B32)</f>
        <v>4.7532641416188959</v>
      </c>
      <c r="D39" s="9">
        <f>MIN(D4,D11,D18,D25,D32)</f>
        <v>30</v>
      </c>
      <c r="E39" s="9">
        <f>MAX(E4,E11,E18,E25,E32)</f>
        <v>111.8</v>
      </c>
      <c r="F39" s="9">
        <f t="shared" ref="F39:N39" si="0">AVERAGE(F4,F11,F18,F25,F32)</f>
        <v>65.903999999999996</v>
      </c>
      <c r="G39" s="9">
        <f>_xlfn.STDEV.S(F4,F11,F18,F25,F32)</f>
        <v>4.0721284360884278</v>
      </c>
      <c r="H39" s="9">
        <f>MIN(H4,H11,H18,H25,H32)</f>
        <v>61.73</v>
      </c>
      <c r="I39" s="9">
        <f>MAX(I4,I11,I18,I25,I32)</f>
        <v>77.430000000000007</v>
      </c>
      <c r="J39" s="9">
        <f t="shared" si="0"/>
        <v>0.66800000000000004</v>
      </c>
      <c r="K39" s="9">
        <f>_xlfn.STDEV.S(J4,J11,J18,J25,J32)</f>
        <v>0.39977493668312919</v>
      </c>
      <c r="L39" s="9">
        <f>MIN(L4,L11,L18,L25,L32)</f>
        <v>0</v>
      </c>
      <c r="M39" s="9">
        <f>MAX(M4,M11,M18,M25,M32)</f>
        <v>4.55</v>
      </c>
      <c r="N39" s="9">
        <f t="shared" si="0"/>
        <v>59.998000000000005</v>
      </c>
      <c r="O39" s="9">
        <f>_xlfn.STDEV.S(N4,N11,N18,N25,N32)</f>
        <v>4.4721359549986898E-3</v>
      </c>
      <c r="P39" s="9">
        <f>MIN(P4,P11,P18,P25,P32)</f>
        <v>59</v>
      </c>
      <c r="Q39" s="9">
        <f>MAX(Q4,Q11,Q18,Q25,Q32)</f>
        <v>60</v>
      </c>
      <c r="R39" s="9">
        <f t="shared" ref="R39" si="1">AVERAGE(R4,R11,R18,R25,R32)</f>
        <v>24.8</v>
      </c>
    </row>
    <row r="40" spans="1:27" s="3" customFormat="1" x14ac:dyDescent="0.3">
      <c r="A40" s="8" t="s">
        <v>9</v>
      </c>
      <c r="B40" s="9">
        <f t="shared" ref="B40:N42" si="2">AVERAGE(B5,B12,B19,B26,B33)</f>
        <v>60.222000000000001</v>
      </c>
      <c r="C40" s="9">
        <f t="shared" ref="C40:C42" si="3">_xlfn.STDEV.S(B5,B12,B19,B26,B33)</f>
        <v>1.9246999766197312</v>
      </c>
      <c r="D40" s="9">
        <f t="shared" ref="D40:D42" si="4">MIN(D5,D12,D19,D26,D33)</f>
        <v>21.4</v>
      </c>
      <c r="E40" s="9">
        <f t="shared" ref="E40:E42" si="5">MAX(E5,E12,E19,E26,E33)</f>
        <v>111.9</v>
      </c>
      <c r="F40" s="9">
        <f t="shared" si="2"/>
        <v>64.47999999999999</v>
      </c>
      <c r="G40" s="9">
        <f t="shared" ref="G40:G42" si="6">_xlfn.STDEV.S(F5,F12,F19,F26,F33)</f>
        <v>5.5866403141780996</v>
      </c>
      <c r="H40" s="9">
        <f t="shared" ref="H40:H42" si="7">MIN(H5,H12,H19,H26,H33)</f>
        <v>58.69</v>
      </c>
      <c r="I40" s="9">
        <f t="shared" ref="I40:I42" si="8">MAX(I5,I12,I19,I26,I33)</f>
        <v>75.349999999999994</v>
      </c>
      <c r="J40" s="9">
        <f t="shared" si="2"/>
        <v>0.85199999999999998</v>
      </c>
      <c r="K40" s="9">
        <f t="shared" ref="K40:K42" si="9">_xlfn.STDEV.S(J5,J12,J19,J26,J33)</f>
        <v>0.88018179940282781</v>
      </c>
      <c r="L40" s="9">
        <f t="shared" ref="L40:L42" si="10">MIN(L5,L12,L19,L26,L33)</f>
        <v>0</v>
      </c>
      <c r="M40" s="9">
        <f t="shared" ref="M40:M42" si="11">MAX(M5,M12,M19,M26,M33)</f>
        <v>3.37</v>
      </c>
      <c r="N40" s="9">
        <f t="shared" si="2"/>
        <v>59.96</v>
      </c>
      <c r="O40" s="9">
        <f t="shared" ref="O40:O42" si="12">_xlfn.STDEV.S(N5,N12,N19,N26,N33)</f>
        <v>3.6055512754641098E-2</v>
      </c>
      <c r="P40" s="9">
        <f t="shared" ref="P40:P42" si="13">MIN(P5,P12,P19,P26,P33)</f>
        <v>56</v>
      </c>
      <c r="Q40" s="9">
        <f t="shared" ref="Q40:Q42" si="14">MAX(Q5,Q12,Q19,Q26,Q33)</f>
        <v>60</v>
      </c>
      <c r="R40" s="9">
        <f t="shared" ref="R40:R42" si="15">AVERAGE(R5,R12,R19,R26,R33)</f>
        <v>32</v>
      </c>
    </row>
    <row r="41" spans="1:27" s="3" customFormat="1" x14ac:dyDescent="0.3">
      <c r="A41" s="8" t="s">
        <v>11</v>
      </c>
      <c r="B41" s="9">
        <f t="shared" si="2"/>
        <v>74.05</v>
      </c>
      <c r="C41" s="9">
        <f t="shared" si="3"/>
        <v>2.5224194734421181</v>
      </c>
      <c r="D41" s="9">
        <f t="shared" si="4"/>
        <v>35.6</v>
      </c>
      <c r="E41" s="9">
        <f t="shared" si="5"/>
        <v>166.9</v>
      </c>
      <c r="F41" s="9">
        <f t="shared" si="2"/>
        <v>124.99600000000001</v>
      </c>
      <c r="G41" s="9">
        <f t="shared" si="6"/>
        <v>5.1223070973927358</v>
      </c>
      <c r="H41" s="9">
        <f t="shared" si="7"/>
        <v>116.6</v>
      </c>
      <c r="I41" s="9">
        <f t="shared" si="8"/>
        <v>136.1</v>
      </c>
      <c r="J41" s="9">
        <f t="shared" si="2"/>
        <v>1.6179999999999999</v>
      </c>
      <c r="K41" s="9">
        <f t="shared" si="9"/>
        <v>1.1354162232415037</v>
      </c>
      <c r="L41" s="9">
        <f t="shared" si="10"/>
        <v>0</v>
      </c>
      <c r="M41" s="9">
        <f t="shared" si="11"/>
        <v>7</v>
      </c>
      <c r="N41" s="9">
        <f t="shared" si="2"/>
        <v>59.977999999999994</v>
      </c>
      <c r="O41" s="9">
        <f t="shared" si="12"/>
        <v>4.9193495504995119E-2</v>
      </c>
      <c r="P41" s="9">
        <f t="shared" si="13"/>
        <v>49</v>
      </c>
      <c r="Q41" s="9">
        <f t="shared" si="14"/>
        <v>60</v>
      </c>
      <c r="R41" s="9">
        <f t="shared" si="15"/>
        <v>30.8</v>
      </c>
    </row>
    <row r="42" spans="1:27" s="3" customFormat="1" ht="16.2" thickBot="1" x14ac:dyDescent="0.35">
      <c r="A42" s="11" t="s">
        <v>172</v>
      </c>
      <c r="B42" s="9">
        <f t="shared" si="2"/>
        <v>73.626000000000005</v>
      </c>
      <c r="C42" s="9">
        <f t="shared" si="3"/>
        <v>3.5669006153802498</v>
      </c>
      <c r="D42" s="9">
        <f t="shared" si="4"/>
        <v>21.4</v>
      </c>
      <c r="E42" s="9">
        <f t="shared" si="5"/>
        <v>146</v>
      </c>
      <c r="F42" s="9">
        <f t="shared" si="2"/>
        <v>90.353999999999999</v>
      </c>
      <c r="G42" s="9">
        <f t="shared" si="6"/>
        <v>9.3470706641171812</v>
      </c>
      <c r="H42" s="9">
        <f t="shared" si="7"/>
        <v>76.66</v>
      </c>
      <c r="I42" s="9">
        <f t="shared" si="8"/>
        <v>110.63</v>
      </c>
      <c r="J42" s="9">
        <f t="shared" si="2"/>
        <v>3.1259999999999999</v>
      </c>
      <c r="K42" s="9">
        <f t="shared" si="9"/>
        <v>1.1503608129626115</v>
      </c>
      <c r="L42" s="9">
        <f t="shared" si="10"/>
        <v>0</v>
      </c>
      <c r="M42" s="9">
        <f t="shared" si="11"/>
        <v>9.52</v>
      </c>
      <c r="N42" s="9">
        <f t="shared" si="2"/>
        <v>59.688000000000002</v>
      </c>
      <c r="O42" s="9">
        <f t="shared" si="12"/>
        <v>0.20376457003120146</v>
      </c>
      <c r="P42" s="9">
        <f t="shared" si="13"/>
        <v>51</v>
      </c>
      <c r="Q42" s="9">
        <f t="shared" si="14"/>
        <v>63</v>
      </c>
      <c r="R42" s="9">
        <f t="shared" si="15"/>
        <v>33.200000000000003</v>
      </c>
    </row>
    <row r="44" spans="1:27" x14ac:dyDescent="0.3">
      <c r="A44" s="20"/>
    </row>
  </sheetData>
  <mergeCells count="36">
    <mergeCell ref="R37:R38"/>
    <mergeCell ref="N16:Q16"/>
    <mergeCell ref="A36:XFD36"/>
    <mergeCell ref="A30:A31"/>
    <mergeCell ref="B30:E30"/>
    <mergeCell ref="F30:I30"/>
    <mergeCell ref="J30:M30"/>
    <mergeCell ref="N30:Q30"/>
    <mergeCell ref="A15:XFD15"/>
    <mergeCell ref="A8:XFD8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J16:M16"/>
    <mergeCell ref="F37:I37"/>
    <mergeCell ref="J37:M37"/>
    <mergeCell ref="A16:A17"/>
    <mergeCell ref="A37:A38"/>
    <mergeCell ref="B37:E37"/>
    <mergeCell ref="B16:E16"/>
    <mergeCell ref="F16:I16"/>
    <mergeCell ref="A29:XFD29"/>
    <mergeCell ref="A22:XFD22"/>
    <mergeCell ref="A23:A24"/>
    <mergeCell ref="B23:E23"/>
    <mergeCell ref="F23:I23"/>
    <mergeCell ref="J23:M23"/>
    <mergeCell ref="N23:Q23"/>
    <mergeCell ref="N37:Q37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19" zoomScale="93" workbookViewId="0">
      <selection activeCell="A36" sqref="A36:XFD36"/>
    </sheetView>
  </sheetViews>
  <sheetFormatPr defaultColWidth="8.88671875" defaultRowHeight="15" customHeight="1" x14ac:dyDescent="0.3"/>
  <cols>
    <col min="1" max="1" width="21" style="41" customWidth="1"/>
    <col min="2" max="17" width="8.88671875" style="42"/>
    <col min="18" max="18" width="30.109375" style="2" customWidth="1"/>
    <col min="19" max="16384" width="8.88671875" style="42"/>
  </cols>
  <sheetData>
    <row r="1" spans="1:27" s="36" customFormat="1" ht="17.399999999999999" customHeight="1" thickBot="1" x14ac:dyDescent="0.35">
      <c r="A1" s="35"/>
      <c r="R1" s="37"/>
    </row>
    <row r="2" spans="1:27" s="39" customFormat="1" ht="15" customHeigh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9" t="s">
        <v>164</v>
      </c>
      <c r="S2" s="38"/>
    </row>
    <row r="3" spans="1:27" s="9" customFormat="1" ht="15" customHeight="1" x14ac:dyDescent="0.3">
      <c r="A3" s="72"/>
      <c r="B3" s="7" t="s">
        <v>4</v>
      </c>
      <c r="C3" s="18" t="s">
        <v>5</v>
      </c>
      <c r="D3" s="18" t="s">
        <v>6</v>
      </c>
      <c r="E3" s="18" t="s">
        <v>7</v>
      </c>
      <c r="F3" s="7" t="s">
        <v>4</v>
      </c>
      <c r="G3" s="18" t="s">
        <v>5</v>
      </c>
      <c r="H3" s="18" t="s">
        <v>6</v>
      </c>
      <c r="I3" s="18" t="s">
        <v>7</v>
      </c>
      <c r="J3" s="7" t="s">
        <v>4</v>
      </c>
      <c r="K3" s="18" t="s">
        <v>5</v>
      </c>
      <c r="L3" s="18" t="s">
        <v>6</v>
      </c>
      <c r="M3" s="18" t="s">
        <v>7</v>
      </c>
      <c r="N3" s="7" t="s">
        <v>4</v>
      </c>
      <c r="O3" s="18" t="s">
        <v>5</v>
      </c>
      <c r="P3" s="18" t="s">
        <v>6</v>
      </c>
      <c r="Q3" s="18" t="s">
        <v>7</v>
      </c>
      <c r="R3" s="18" t="s">
        <v>170</v>
      </c>
      <c r="S3" s="10"/>
    </row>
    <row r="4" spans="1:27" s="9" customFormat="1" ht="15" customHeight="1" x14ac:dyDescent="0.3">
      <c r="A4" s="64" t="s">
        <v>171</v>
      </c>
      <c r="B4" s="9">
        <v>99.98</v>
      </c>
      <c r="C4" s="9">
        <v>8.19</v>
      </c>
      <c r="D4" s="9">
        <v>81.8</v>
      </c>
      <c r="E4" s="9">
        <v>131</v>
      </c>
      <c r="F4" s="9">
        <v>67.53</v>
      </c>
      <c r="G4" s="9">
        <v>0.42</v>
      </c>
      <c r="H4" s="9">
        <v>66.599999999999994</v>
      </c>
      <c r="I4" s="9">
        <v>68.12</v>
      </c>
      <c r="J4" s="9">
        <v>2.2799999999999998</v>
      </c>
      <c r="K4" s="9">
        <v>0.42</v>
      </c>
      <c r="L4" s="9">
        <v>1.35</v>
      </c>
      <c r="M4" s="9">
        <v>2.87</v>
      </c>
      <c r="N4" s="9">
        <v>60</v>
      </c>
      <c r="O4" s="9">
        <v>0</v>
      </c>
      <c r="P4" s="9">
        <v>60</v>
      </c>
      <c r="Q4" s="9">
        <v>60</v>
      </c>
      <c r="R4" s="9">
        <v>11</v>
      </c>
      <c r="S4" s="10" t="s">
        <v>67</v>
      </c>
    </row>
    <row r="5" spans="1:27" s="9" customFormat="1" ht="15" customHeight="1" x14ac:dyDescent="0.3">
      <c r="A5" s="64" t="s">
        <v>9</v>
      </c>
      <c r="B5" s="61">
        <v>112.57</v>
      </c>
      <c r="C5" s="61">
        <v>11.49</v>
      </c>
      <c r="D5" s="61">
        <v>79.900000000000006</v>
      </c>
      <c r="E5" s="61">
        <v>125.7</v>
      </c>
      <c r="F5" s="61">
        <v>66.09</v>
      </c>
      <c r="G5" s="61">
        <v>0.77</v>
      </c>
      <c r="H5" s="61">
        <v>64.81</v>
      </c>
      <c r="I5" s="61">
        <v>67.260000000000005</v>
      </c>
      <c r="J5" s="61">
        <v>2.38</v>
      </c>
      <c r="K5" s="61">
        <v>0.77</v>
      </c>
      <c r="L5" s="61">
        <v>1.1000000000000001</v>
      </c>
      <c r="M5" s="61">
        <v>3.55</v>
      </c>
      <c r="N5" s="9">
        <v>59.97</v>
      </c>
      <c r="O5" s="9">
        <v>0.18</v>
      </c>
      <c r="P5" s="9">
        <v>59</v>
      </c>
      <c r="Q5" s="9">
        <v>60</v>
      </c>
      <c r="R5" s="9">
        <v>7</v>
      </c>
      <c r="S5" s="10" t="s">
        <v>68</v>
      </c>
    </row>
    <row r="6" spans="1:27" s="9" customFormat="1" ht="15" customHeight="1" x14ac:dyDescent="0.3">
      <c r="A6" s="64" t="s">
        <v>11</v>
      </c>
      <c r="B6" s="59">
        <v>110.82</v>
      </c>
      <c r="C6" s="59">
        <v>18.78</v>
      </c>
      <c r="D6" s="59">
        <v>76.099999999999994</v>
      </c>
      <c r="E6" s="59">
        <v>147.19999999999999</v>
      </c>
      <c r="F6" s="61">
        <v>132.38</v>
      </c>
      <c r="G6" s="61">
        <v>0.99</v>
      </c>
      <c r="H6" s="61">
        <v>130.30000000000001</v>
      </c>
      <c r="I6" s="61">
        <v>134</v>
      </c>
      <c r="J6" s="61">
        <v>1.1599999999999999</v>
      </c>
      <c r="K6" s="61">
        <v>0.85</v>
      </c>
      <c r="L6" s="61">
        <v>0</v>
      </c>
      <c r="M6" s="61">
        <v>2.7</v>
      </c>
      <c r="N6" s="61">
        <v>60</v>
      </c>
      <c r="O6" s="61">
        <v>0</v>
      </c>
      <c r="P6" s="61">
        <v>60</v>
      </c>
      <c r="Q6" s="61">
        <v>60</v>
      </c>
      <c r="R6" s="9">
        <v>8</v>
      </c>
      <c r="S6" s="10" t="s">
        <v>159</v>
      </c>
    </row>
    <row r="7" spans="1:27" s="14" customFormat="1" ht="15" customHeight="1" thickBot="1" x14ac:dyDescent="0.35">
      <c r="A7" s="40" t="s">
        <v>172</v>
      </c>
      <c r="B7" s="43">
        <v>131.88</v>
      </c>
      <c r="C7" s="43">
        <v>14.36</v>
      </c>
      <c r="D7" s="43">
        <v>88.5</v>
      </c>
      <c r="E7" s="43">
        <v>172.2</v>
      </c>
      <c r="F7" s="43">
        <v>84.29</v>
      </c>
      <c r="G7" s="43">
        <v>2.09</v>
      </c>
      <c r="H7" s="43">
        <v>81.459999999999994</v>
      </c>
      <c r="I7" s="43">
        <v>87.35</v>
      </c>
      <c r="J7" s="43">
        <v>1.1000000000000001</v>
      </c>
      <c r="K7" s="43">
        <v>1.31</v>
      </c>
      <c r="L7" s="43">
        <v>0</v>
      </c>
      <c r="M7" s="43">
        <v>3.37</v>
      </c>
      <c r="N7" s="43">
        <v>59.24</v>
      </c>
      <c r="O7" s="43">
        <v>1.68</v>
      </c>
      <c r="P7" s="43">
        <v>56</v>
      </c>
      <c r="Q7" s="43">
        <v>61</v>
      </c>
      <c r="R7" s="14">
        <v>8</v>
      </c>
      <c r="S7" s="13" t="s">
        <v>69</v>
      </c>
    </row>
    <row r="8" spans="1:27" s="94" customFormat="1" ht="15" customHeight="1" thickBot="1" x14ac:dyDescent="0.35"/>
    <row r="9" spans="1:27" s="39" customFormat="1" ht="15" customHeigh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9" t="s">
        <v>164</v>
      </c>
      <c r="S9" s="38"/>
    </row>
    <row r="10" spans="1:27" s="9" customFormat="1" ht="15" customHeight="1" x14ac:dyDescent="0.3">
      <c r="A10" s="72"/>
      <c r="B10" s="7" t="s">
        <v>4</v>
      </c>
      <c r="C10" s="18" t="s">
        <v>5</v>
      </c>
      <c r="D10" s="18" t="s">
        <v>6</v>
      </c>
      <c r="E10" s="18" t="s">
        <v>7</v>
      </c>
      <c r="F10" s="7" t="s">
        <v>4</v>
      </c>
      <c r="G10" s="18" t="s">
        <v>5</v>
      </c>
      <c r="H10" s="18" t="s">
        <v>6</v>
      </c>
      <c r="I10" s="18" t="s">
        <v>7</v>
      </c>
      <c r="J10" s="7" t="s">
        <v>4</v>
      </c>
      <c r="K10" s="18" t="s">
        <v>5</v>
      </c>
      <c r="L10" s="18" t="s">
        <v>6</v>
      </c>
      <c r="M10" s="18" t="s">
        <v>7</v>
      </c>
      <c r="N10" s="7" t="s">
        <v>4</v>
      </c>
      <c r="O10" s="18" t="s">
        <v>5</v>
      </c>
      <c r="P10" s="18" t="s">
        <v>6</v>
      </c>
      <c r="Q10" s="18" t="s">
        <v>7</v>
      </c>
      <c r="R10" s="18" t="s">
        <v>170</v>
      </c>
      <c r="S10" s="10"/>
    </row>
    <row r="11" spans="1:27" s="9" customFormat="1" ht="15" customHeight="1" x14ac:dyDescent="0.3">
      <c r="A11" s="64" t="s">
        <v>171</v>
      </c>
      <c r="B11" s="9">
        <v>106.16</v>
      </c>
      <c r="C11" s="9">
        <v>11.42</v>
      </c>
      <c r="D11" s="9">
        <v>80.7</v>
      </c>
      <c r="E11" s="9">
        <v>129.1</v>
      </c>
      <c r="F11" s="61">
        <v>67.7</v>
      </c>
      <c r="G11" s="61">
        <v>0.94</v>
      </c>
      <c r="H11" s="61">
        <v>66.11</v>
      </c>
      <c r="I11" s="61">
        <v>69.010000000000005</v>
      </c>
      <c r="J11" s="61">
        <v>2.78</v>
      </c>
      <c r="K11" s="61">
        <v>0.94</v>
      </c>
      <c r="L11" s="61">
        <v>1.19</v>
      </c>
      <c r="M11" s="61">
        <v>4.09</v>
      </c>
      <c r="N11" s="61">
        <v>59.97</v>
      </c>
      <c r="O11" s="61">
        <v>0.17</v>
      </c>
      <c r="P11" s="61">
        <v>59</v>
      </c>
      <c r="Q11" s="61">
        <v>60</v>
      </c>
      <c r="R11" s="9">
        <v>8</v>
      </c>
      <c r="S11" s="10" t="s">
        <v>70</v>
      </c>
    </row>
    <row r="12" spans="1:27" s="9" customFormat="1" ht="15" customHeight="1" x14ac:dyDescent="0.3">
      <c r="A12" s="64" t="s">
        <v>9</v>
      </c>
      <c r="B12" s="9">
        <v>103.52</v>
      </c>
      <c r="C12" s="9">
        <v>12.47</v>
      </c>
      <c r="D12" s="9">
        <v>81.099999999999994</v>
      </c>
      <c r="E12" s="9">
        <v>131.80000000000001</v>
      </c>
      <c r="F12" s="61">
        <v>69.66</v>
      </c>
      <c r="G12" s="61">
        <v>0.6</v>
      </c>
      <c r="H12" s="61">
        <v>68.67</v>
      </c>
      <c r="I12" s="61">
        <v>70.650000000000006</v>
      </c>
      <c r="J12" s="61">
        <v>0</v>
      </c>
      <c r="K12" s="61">
        <v>0</v>
      </c>
      <c r="L12" s="61">
        <v>0</v>
      </c>
      <c r="M12" s="61">
        <v>0</v>
      </c>
      <c r="N12" s="61">
        <v>60</v>
      </c>
      <c r="O12" s="61">
        <v>0</v>
      </c>
      <c r="P12" s="61">
        <v>60</v>
      </c>
      <c r="Q12" s="61">
        <v>60</v>
      </c>
      <c r="R12" s="9">
        <v>9</v>
      </c>
      <c r="S12" s="10" t="s">
        <v>71</v>
      </c>
    </row>
    <row r="13" spans="1:27" s="9" customFormat="1" ht="15" customHeight="1" x14ac:dyDescent="0.3">
      <c r="A13" s="64" t="s">
        <v>11</v>
      </c>
      <c r="B13" s="59">
        <v>98.02</v>
      </c>
      <c r="C13" s="59">
        <v>12.24</v>
      </c>
      <c r="D13" s="59">
        <v>70.599999999999994</v>
      </c>
      <c r="E13" s="59">
        <v>145.30000000000001</v>
      </c>
      <c r="F13" s="59">
        <v>129.41</v>
      </c>
      <c r="G13" s="59">
        <v>3.26</v>
      </c>
      <c r="H13" s="59">
        <v>125.9</v>
      </c>
      <c r="I13" s="59">
        <v>147.1</v>
      </c>
      <c r="J13" s="59">
        <v>9</v>
      </c>
      <c r="K13" s="59">
        <v>9.93</v>
      </c>
      <c r="L13" s="59">
        <v>9</v>
      </c>
      <c r="M13" s="59">
        <v>9.1999999999999993</v>
      </c>
      <c r="N13" s="59">
        <v>60</v>
      </c>
      <c r="O13" s="59">
        <v>0</v>
      </c>
      <c r="P13" s="59">
        <v>60</v>
      </c>
      <c r="Q13" s="59">
        <v>60</v>
      </c>
      <c r="R13" s="9">
        <v>11</v>
      </c>
      <c r="S13" s="10" t="s">
        <v>165</v>
      </c>
    </row>
    <row r="14" spans="1:27" s="14" customFormat="1" ht="15" customHeight="1" thickBot="1" x14ac:dyDescent="0.35">
      <c r="A14" s="40" t="s">
        <v>172</v>
      </c>
      <c r="B14" s="12">
        <v>130.85</v>
      </c>
      <c r="C14" s="12">
        <v>13.12</v>
      </c>
      <c r="D14" s="12">
        <v>83.6</v>
      </c>
      <c r="E14" s="12">
        <v>164.6</v>
      </c>
      <c r="F14" s="12">
        <v>98.29</v>
      </c>
      <c r="G14" s="12">
        <v>1.1599999999999999</v>
      </c>
      <c r="H14" s="12">
        <v>96.38</v>
      </c>
      <c r="I14" s="12">
        <v>100.41</v>
      </c>
      <c r="J14" s="12">
        <v>3.16</v>
      </c>
      <c r="K14" s="12">
        <v>1.1599999999999999</v>
      </c>
      <c r="L14" s="12">
        <v>1.25</v>
      </c>
      <c r="M14" s="12">
        <v>5.28</v>
      </c>
      <c r="N14" s="12">
        <v>59.07</v>
      </c>
      <c r="O14" s="12">
        <v>1.67</v>
      </c>
      <c r="P14" s="12">
        <v>55</v>
      </c>
      <c r="Q14" s="12">
        <v>61</v>
      </c>
      <c r="R14" s="14">
        <v>7</v>
      </c>
      <c r="S14" s="13" t="s">
        <v>72</v>
      </c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5" customHeight="1" thickBot="1" x14ac:dyDescent="0.35"/>
    <row r="16" spans="1:27" s="39" customFormat="1" ht="15" customHeigh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39" t="s">
        <v>164</v>
      </c>
      <c r="S16" s="38"/>
    </row>
    <row r="17" spans="1:27" s="9" customFormat="1" ht="15" customHeight="1" x14ac:dyDescent="0.3">
      <c r="A17" s="72"/>
      <c r="B17" s="7" t="s">
        <v>4</v>
      </c>
      <c r="C17" s="18" t="s">
        <v>5</v>
      </c>
      <c r="D17" s="18" t="s">
        <v>6</v>
      </c>
      <c r="E17" s="18" t="s">
        <v>7</v>
      </c>
      <c r="F17" s="7" t="s">
        <v>4</v>
      </c>
      <c r="G17" s="18" t="s">
        <v>5</v>
      </c>
      <c r="H17" s="18" t="s">
        <v>6</v>
      </c>
      <c r="I17" s="18" t="s">
        <v>7</v>
      </c>
      <c r="J17" s="7" t="s">
        <v>4</v>
      </c>
      <c r="K17" s="18" t="s">
        <v>5</v>
      </c>
      <c r="L17" s="18" t="s">
        <v>6</v>
      </c>
      <c r="M17" s="18" t="s">
        <v>7</v>
      </c>
      <c r="N17" s="7" t="s">
        <v>4</v>
      </c>
      <c r="O17" s="18" t="s">
        <v>5</v>
      </c>
      <c r="P17" s="18" t="s">
        <v>6</v>
      </c>
      <c r="Q17" s="18" t="s">
        <v>7</v>
      </c>
      <c r="R17" s="18" t="s">
        <v>170</v>
      </c>
      <c r="S17" s="10"/>
    </row>
    <row r="18" spans="1:27" s="9" customFormat="1" ht="15" customHeight="1" x14ac:dyDescent="0.3">
      <c r="A18" s="64" t="s">
        <v>171</v>
      </c>
      <c r="B18" s="9">
        <v>109.67</v>
      </c>
      <c r="C18" s="9">
        <v>13.4</v>
      </c>
      <c r="D18" s="9">
        <v>93.5</v>
      </c>
      <c r="E18" s="9">
        <v>152.80000000000001</v>
      </c>
      <c r="F18" s="61">
        <v>67.510000000000005</v>
      </c>
      <c r="G18" s="61">
        <v>0.9</v>
      </c>
      <c r="H18" s="61">
        <v>65.89</v>
      </c>
      <c r="I18" s="61">
        <v>68.650000000000006</v>
      </c>
      <c r="J18" s="61">
        <v>2.42</v>
      </c>
      <c r="K18" s="61">
        <v>0.9</v>
      </c>
      <c r="L18" s="61">
        <v>0.8</v>
      </c>
      <c r="M18" s="61">
        <v>3.56</v>
      </c>
      <c r="N18" s="61">
        <v>60</v>
      </c>
      <c r="O18" s="61">
        <v>0</v>
      </c>
      <c r="P18" s="61">
        <v>60</v>
      </c>
      <c r="Q18" s="61">
        <v>60</v>
      </c>
      <c r="R18" s="9">
        <v>8</v>
      </c>
      <c r="S18" s="10" t="s">
        <v>73</v>
      </c>
    </row>
    <row r="19" spans="1:27" s="9" customFormat="1" ht="15" customHeight="1" x14ac:dyDescent="0.3">
      <c r="A19" s="64" t="s">
        <v>9</v>
      </c>
      <c r="B19" s="19">
        <v>102.18</v>
      </c>
      <c r="C19" s="19">
        <v>10.58</v>
      </c>
      <c r="D19" s="19">
        <v>86.3</v>
      </c>
      <c r="E19" s="19">
        <v>125.4</v>
      </c>
      <c r="F19" s="19">
        <v>65.02</v>
      </c>
      <c r="G19" s="19">
        <v>0.51</v>
      </c>
      <c r="H19" s="19">
        <v>64.349999999999994</v>
      </c>
      <c r="I19" s="19">
        <v>65.91</v>
      </c>
      <c r="J19" s="19">
        <v>1.49</v>
      </c>
      <c r="K19" s="19">
        <v>0.51</v>
      </c>
      <c r="L19" s="19">
        <v>0.83</v>
      </c>
      <c r="M19" s="19">
        <v>2.38</v>
      </c>
      <c r="N19" s="19">
        <v>60</v>
      </c>
      <c r="O19" s="19">
        <v>0</v>
      </c>
      <c r="P19" s="19">
        <v>60</v>
      </c>
      <c r="Q19" s="19">
        <v>60</v>
      </c>
      <c r="R19" s="9">
        <v>9</v>
      </c>
      <c r="S19" s="10" t="s">
        <v>74</v>
      </c>
      <c r="T19" s="19"/>
      <c r="U19" s="19"/>
      <c r="V19" s="19"/>
      <c r="W19" s="19"/>
      <c r="X19" s="19"/>
      <c r="Y19" s="19"/>
      <c r="Z19" s="19"/>
      <c r="AA19" s="19"/>
    </row>
    <row r="20" spans="1:27" s="9" customFormat="1" ht="15" customHeight="1" x14ac:dyDescent="0.3">
      <c r="A20" s="64" t="s">
        <v>11</v>
      </c>
      <c r="B20" s="9">
        <v>102.33</v>
      </c>
      <c r="C20" s="9">
        <v>10.42</v>
      </c>
      <c r="D20" s="9">
        <v>83.7</v>
      </c>
      <c r="E20" s="9">
        <v>144.5</v>
      </c>
      <c r="F20" s="61">
        <v>137.84</v>
      </c>
      <c r="G20" s="61">
        <v>1.01</v>
      </c>
      <c r="H20" s="61">
        <v>136.30000000000001</v>
      </c>
      <c r="I20" s="61">
        <v>139.30000000000001</v>
      </c>
      <c r="J20" s="61">
        <v>0</v>
      </c>
      <c r="K20" s="61">
        <v>0</v>
      </c>
      <c r="L20" s="61">
        <v>0</v>
      </c>
      <c r="M20" s="61">
        <v>0</v>
      </c>
      <c r="N20" s="61">
        <v>59.89</v>
      </c>
      <c r="O20" s="61">
        <v>0.68</v>
      </c>
      <c r="P20" s="61">
        <v>56</v>
      </c>
      <c r="Q20" s="61">
        <v>60</v>
      </c>
      <c r="R20" s="9">
        <v>9</v>
      </c>
      <c r="S20" s="10" t="s">
        <v>75</v>
      </c>
    </row>
    <row r="21" spans="1:27" s="14" customFormat="1" ht="15" customHeight="1" thickBot="1" x14ac:dyDescent="0.35">
      <c r="A21" s="40" t="s">
        <v>172</v>
      </c>
      <c r="B21" s="12">
        <v>134.84</v>
      </c>
      <c r="C21" s="12">
        <v>17.350000000000001</v>
      </c>
      <c r="D21" s="12">
        <v>99.4</v>
      </c>
      <c r="E21" s="12">
        <v>199.5</v>
      </c>
      <c r="F21" s="12">
        <v>83.56</v>
      </c>
      <c r="G21" s="12">
        <v>1.35</v>
      </c>
      <c r="H21" s="12">
        <v>81.16</v>
      </c>
      <c r="I21" s="12">
        <v>85.9</v>
      </c>
      <c r="J21" s="12">
        <v>3.62</v>
      </c>
      <c r="K21" s="12">
        <v>1.35</v>
      </c>
      <c r="L21" s="12">
        <v>1.22</v>
      </c>
      <c r="M21" s="12">
        <v>5.96</v>
      </c>
      <c r="N21" s="12">
        <v>60.04</v>
      </c>
      <c r="O21" s="12">
        <v>0.81</v>
      </c>
      <c r="P21" s="12">
        <v>59</v>
      </c>
      <c r="Q21" s="12">
        <v>61</v>
      </c>
      <c r="R21" s="14">
        <v>7</v>
      </c>
      <c r="S21" s="13" t="s">
        <v>153</v>
      </c>
      <c r="T21" s="12"/>
      <c r="U21" s="12"/>
      <c r="V21" s="12"/>
      <c r="W21" s="12"/>
      <c r="X21" s="12"/>
      <c r="Y21" s="12"/>
      <c r="Z21" s="12"/>
      <c r="AA21" s="12"/>
    </row>
    <row r="22" spans="1:27" s="94" customFormat="1" ht="15" customHeight="1" thickBot="1" x14ac:dyDescent="0.35"/>
    <row r="23" spans="1:27" s="45" customFormat="1" ht="15" customHeight="1" thickBot="1" x14ac:dyDescent="0.35">
      <c r="A23" s="81"/>
      <c r="B23" s="99" t="s">
        <v>0</v>
      </c>
      <c r="C23" s="99"/>
      <c r="D23" s="99"/>
      <c r="E23" s="99"/>
      <c r="F23" s="100" t="s">
        <v>1</v>
      </c>
      <c r="G23" s="100"/>
      <c r="H23" s="100"/>
      <c r="I23" s="100"/>
      <c r="J23" s="99" t="s">
        <v>2</v>
      </c>
      <c r="K23" s="99"/>
      <c r="L23" s="99"/>
      <c r="M23" s="99"/>
      <c r="N23" s="99" t="s">
        <v>3</v>
      </c>
      <c r="O23" s="99"/>
      <c r="P23" s="99"/>
      <c r="Q23" s="99"/>
      <c r="R23" s="39" t="s">
        <v>164</v>
      </c>
      <c r="S23" s="44"/>
    </row>
    <row r="24" spans="1:27" s="49" customFormat="1" ht="15" customHeight="1" x14ac:dyDescent="0.3">
      <c r="A24" s="82"/>
      <c r="B24" s="46" t="s">
        <v>4</v>
      </c>
      <c r="C24" s="47" t="s">
        <v>5</v>
      </c>
      <c r="D24" s="47" t="s">
        <v>6</v>
      </c>
      <c r="E24" s="47" t="s">
        <v>7</v>
      </c>
      <c r="F24" s="46" t="s">
        <v>4</v>
      </c>
      <c r="G24" s="47" t="s">
        <v>5</v>
      </c>
      <c r="H24" s="47" t="s">
        <v>6</v>
      </c>
      <c r="I24" s="47" t="s">
        <v>7</v>
      </c>
      <c r="J24" s="46" t="s">
        <v>4</v>
      </c>
      <c r="K24" s="47" t="s">
        <v>5</v>
      </c>
      <c r="L24" s="47" t="s">
        <v>6</v>
      </c>
      <c r="M24" s="47" t="s">
        <v>7</v>
      </c>
      <c r="N24" s="46" t="s">
        <v>4</v>
      </c>
      <c r="O24" s="47" t="s">
        <v>5</v>
      </c>
      <c r="P24" s="47" t="s">
        <v>6</v>
      </c>
      <c r="Q24" s="47" t="s">
        <v>7</v>
      </c>
      <c r="R24" s="18" t="s">
        <v>170</v>
      </c>
      <c r="S24" s="48"/>
    </row>
    <row r="25" spans="1:27" s="9" customFormat="1" ht="15" customHeight="1" x14ac:dyDescent="0.3">
      <c r="A25" s="64" t="s">
        <v>171</v>
      </c>
      <c r="B25" s="19">
        <v>100.54</v>
      </c>
      <c r="C25" s="19">
        <v>14.97</v>
      </c>
      <c r="D25" s="19">
        <v>70.900000000000006</v>
      </c>
      <c r="E25" s="19">
        <v>126.8</v>
      </c>
      <c r="F25" s="19">
        <v>66.709999999999994</v>
      </c>
      <c r="G25" s="19">
        <v>0.8</v>
      </c>
      <c r="H25" s="19">
        <v>65.430000000000007</v>
      </c>
      <c r="I25" s="19">
        <v>67.95</v>
      </c>
      <c r="J25" s="19">
        <v>2.61</v>
      </c>
      <c r="K25" s="19">
        <v>0.8</v>
      </c>
      <c r="L25" s="19">
        <v>1.33</v>
      </c>
      <c r="M25" s="19">
        <v>3.85</v>
      </c>
      <c r="N25" s="19">
        <v>60</v>
      </c>
      <c r="O25" s="19">
        <v>0</v>
      </c>
      <c r="P25" s="19">
        <v>60</v>
      </c>
      <c r="Q25" s="19">
        <v>60</v>
      </c>
      <c r="R25" s="9">
        <v>9</v>
      </c>
      <c r="S25" s="10" t="s">
        <v>76</v>
      </c>
      <c r="T25" s="19"/>
      <c r="U25" s="19"/>
      <c r="V25" s="19"/>
      <c r="W25" s="19"/>
      <c r="X25" s="19"/>
      <c r="Y25" s="19"/>
      <c r="Z25" s="19"/>
      <c r="AA25" s="19"/>
    </row>
    <row r="26" spans="1:27" s="9" customFormat="1" ht="15" customHeight="1" x14ac:dyDescent="0.3">
      <c r="A26" s="64" t="s">
        <v>9</v>
      </c>
      <c r="B26" s="19">
        <v>102.31</v>
      </c>
      <c r="C26" s="19">
        <v>9.1199999999999992</v>
      </c>
      <c r="D26" s="19">
        <v>73.2</v>
      </c>
      <c r="E26" s="19">
        <v>134.4</v>
      </c>
      <c r="F26" s="19">
        <v>60.4</v>
      </c>
      <c r="G26" s="19">
        <v>0.72</v>
      </c>
      <c r="H26" s="19">
        <v>59.35</v>
      </c>
      <c r="I26" s="19">
        <v>61.62</v>
      </c>
      <c r="J26" s="19">
        <v>0.6</v>
      </c>
      <c r="K26" s="19">
        <v>0.54</v>
      </c>
      <c r="L26" s="19">
        <v>0</v>
      </c>
      <c r="M26" s="19">
        <v>1.67</v>
      </c>
      <c r="N26" s="19">
        <v>59.98</v>
      </c>
      <c r="O26" s="19">
        <v>0.14000000000000001</v>
      </c>
      <c r="P26" s="19">
        <v>59</v>
      </c>
      <c r="Q26" s="19">
        <v>60</v>
      </c>
      <c r="R26" s="9">
        <v>13</v>
      </c>
      <c r="S26" s="10" t="s">
        <v>77</v>
      </c>
      <c r="T26" s="19"/>
      <c r="U26" s="19"/>
      <c r="V26" s="19"/>
      <c r="W26" s="19"/>
      <c r="X26" s="19"/>
      <c r="Y26" s="19"/>
      <c r="Z26" s="19"/>
      <c r="AA26" s="19"/>
    </row>
    <row r="27" spans="1:27" s="9" customFormat="1" ht="15" customHeight="1" x14ac:dyDescent="0.3">
      <c r="A27" s="64" t="s">
        <v>11</v>
      </c>
      <c r="B27" s="19">
        <v>109.87</v>
      </c>
      <c r="C27" s="19">
        <v>13.52</v>
      </c>
      <c r="D27" s="19">
        <v>87.5</v>
      </c>
      <c r="E27" s="19">
        <v>144.4</v>
      </c>
      <c r="F27" s="19">
        <v>127.9</v>
      </c>
      <c r="G27" s="19">
        <v>1.0900000000000001</v>
      </c>
      <c r="H27" s="19">
        <v>126.3</v>
      </c>
      <c r="I27" s="19">
        <v>130.30000000000001</v>
      </c>
      <c r="J27" s="19">
        <v>0</v>
      </c>
      <c r="K27" s="19">
        <v>0</v>
      </c>
      <c r="L27" s="19">
        <v>0</v>
      </c>
      <c r="M27" s="19">
        <v>0</v>
      </c>
      <c r="N27" s="19">
        <v>60</v>
      </c>
      <c r="O27" s="19">
        <v>0</v>
      </c>
      <c r="P27" s="19">
        <v>60</v>
      </c>
      <c r="Q27" s="19">
        <v>60</v>
      </c>
      <c r="R27" s="9">
        <v>9</v>
      </c>
      <c r="S27" s="10" t="s">
        <v>78</v>
      </c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5" customHeight="1" thickBot="1" x14ac:dyDescent="0.35">
      <c r="A28" s="40" t="s">
        <v>172</v>
      </c>
      <c r="B28" s="12">
        <v>134.25</v>
      </c>
      <c r="C28" s="12">
        <v>8.9600000000000009</v>
      </c>
      <c r="D28" s="12">
        <v>127.7</v>
      </c>
      <c r="E28" s="12">
        <v>168.9</v>
      </c>
      <c r="F28" s="12">
        <v>87.3</v>
      </c>
      <c r="G28" s="12">
        <v>1.46</v>
      </c>
      <c r="H28" s="12">
        <v>84.26</v>
      </c>
      <c r="I28" s="12">
        <v>89.64</v>
      </c>
      <c r="J28" s="12">
        <v>2.69</v>
      </c>
      <c r="K28" s="12">
        <v>1.4</v>
      </c>
      <c r="L28" s="12">
        <v>0</v>
      </c>
      <c r="M28" s="12">
        <v>5</v>
      </c>
      <c r="N28" s="12">
        <v>60.11</v>
      </c>
      <c r="O28" s="12">
        <v>0.8</v>
      </c>
      <c r="P28" s="12">
        <v>59</v>
      </c>
      <c r="Q28" s="12">
        <v>61</v>
      </c>
      <c r="R28" s="14">
        <v>6</v>
      </c>
      <c r="S28" s="13" t="s">
        <v>79</v>
      </c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5" customHeight="1" thickBot="1" x14ac:dyDescent="0.35"/>
    <row r="30" spans="1:27" s="39" customFormat="1" ht="15" customHeigh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9" t="s">
        <v>164</v>
      </c>
      <c r="S30" s="38"/>
    </row>
    <row r="31" spans="1:27" s="9" customFormat="1" ht="15" customHeight="1" x14ac:dyDescent="0.3">
      <c r="A31" s="72"/>
      <c r="B31" s="7" t="s">
        <v>4</v>
      </c>
      <c r="C31" s="18" t="s">
        <v>5</v>
      </c>
      <c r="D31" s="18" t="s">
        <v>6</v>
      </c>
      <c r="E31" s="18" t="s">
        <v>7</v>
      </c>
      <c r="F31" s="7" t="s">
        <v>4</v>
      </c>
      <c r="G31" s="18" t="s">
        <v>5</v>
      </c>
      <c r="H31" s="18" t="s">
        <v>6</v>
      </c>
      <c r="I31" s="18" t="s">
        <v>7</v>
      </c>
      <c r="J31" s="7" t="s">
        <v>4</v>
      </c>
      <c r="K31" s="18" t="s">
        <v>5</v>
      </c>
      <c r="L31" s="18" t="s">
        <v>6</v>
      </c>
      <c r="M31" s="18" t="s">
        <v>7</v>
      </c>
      <c r="N31" s="7" t="s">
        <v>4</v>
      </c>
      <c r="O31" s="18" t="s">
        <v>5</v>
      </c>
      <c r="P31" s="18" t="s">
        <v>6</v>
      </c>
      <c r="Q31" s="18" t="s">
        <v>7</v>
      </c>
      <c r="R31" s="18" t="s">
        <v>170</v>
      </c>
      <c r="S31" s="10"/>
    </row>
    <row r="32" spans="1:27" s="9" customFormat="1" ht="15" customHeight="1" x14ac:dyDescent="0.3">
      <c r="A32" s="64" t="s">
        <v>171</v>
      </c>
      <c r="B32" s="19">
        <v>99.56</v>
      </c>
      <c r="C32" s="19">
        <v>5.61</v>
      </c>
      <c r="D32" s="19">
        <v>89.3</v>
      </c>
      <c r="E32" s="19">
        <v>116</v>
      </c>
      <c r="F32" s="19">
        <v>67.27</v>
      </c>
      <c r="G32" s="19">
        <v>0.99</v>
      </c>
      <c r="H32" s="19">
        <v>65.56</v>
      </c>
      <c r="I32" s="19">
        <v>68.56</v>
      </c>
      <c r="J32" s="19">
        <v>2.78</v>
      </c>
      <c r="K32" s="19">
        <v>0.99</v>
      </c>
      <c r="L32" s="19">
        <v>1.06</v>
      </c>
      <c r="M32" s="19">
        <v>4.07</v>
      </c>
      <c r="N32" s="19">
        <v>59.97</v>
      </c>
      <c r="O32" s="19">
        <v>0.16</v>
      </c>
      <c r="P32" s="19">
        <v>59</v>
      </c>
      <c r="Q32" s="19">
        <v>60</v>
      </c>
      <c r="R32" s="9">
        <v>10</v>
      </c>
      <c r="S32" s="10" t="s">
        <v>80</v>
      </c>
      <c r="T32" s="19"/>
      <c r="U32" s="19"/>
      <c r="V32" s="19"/>
      <c r="W32" s="19"/>
      <c r="X32" s="19"/>
      <c r="Y32" s="19"/>
      <c r="Z32" s="19"/>
      <c r="AA32" s="19"/>
    </row>
    <row r="33" spans="1:27" s="9" customFormat="1" ht="15" customHeight="1" x14ac:dyDescent="0.3">
      <c r="A33" s="64" t="s">
        <v>9</v>
      </c>
      <c r="B33" s="19">
        <v>112.57</v>
      </c>
      <c r="C33" s="19">
        <v>11.49</v>
      </c>
      <c r="D33" s="19">
        <v>79.900000000000006</v>
      </c>
      <c r="E33" s="19">
        <v>125.7</v>
      </c>
      <c r="F33" s="19">
        <v>66.09</v>
      </c>
      <c r="G33" s="19">
        <v>0.77</v>
      </c>
      <c r="H33" s="19">
        <v>64.81</v>
      </c>
      <c r="I33" s="19">
        <v>67.260000000000005</v>
      </c>
      <c r="J33" s="19">
        <v>2.38</v>
      </c>
      <c r="K33" s="19">
        <v>0.77</v>
      </c>
      <c r="L33" s="19">
        <v>1.1000000000000001</v>
      </c>
      <c r="M33" s="19">
        <v>3.55</v>
      </c>
      <c r="N33" s="19">
        <v>59.97</v>
      </c>
      <c r="O33" s="19">
        <v>0.18</v>
      </c>
      <c r="P33" s="19">
        <v>59</v>
      </c>
      <c r="Q33" s="19">
        <v>60</v>
      </c>
      <c r="R33" s="9">
        <v>7</v>
      </c>
      <c r="S33" s="10" t="s">
        <v>68</v>
      </c>
      <c r="T33" s="19"/>
      <c r="U33" s="19"/>
      <c r="V33" s="19"/>
      <c r="W33" s="19"/>
      <c r="X33" s="19"/>
      <c r="Y33" s="19"/>
      <c r="Z33" s="19"/>
      <c r="AA33" s="19"/>
    </row>
    <row r="34" spans="1:27" s="9" customFormat="1" ht="15" customHeight="1" x14ac:dyDescent="0.3">
      <c r="A34" s="64" t="s">
        <v>11</v>
      </c>
      <c r="B34" s="19">
        <v>113.48</v>
      </c>
      <c r="C34" s="19">
        <v>18.100000000000001</v>
      </c>
      <c r="D34" s="19">
        <v>89</v>
      </c>
      <c r="E34" s="19">
        <v>138.9</v>
      </c>
      <c r="F34" s="19">
        <v>136.9</v>
      </c>
      <c r="G34" s="19">
        <v>1.17</v>
      </c>
      <c r="H34" s="19">
        <v>135.1</v>
      </c>
      <c r="I34" s="19">
        <v>139.9</v>
      </c>
      <c r="J34" s="19">
        <v>0</v>
      </c>
      <c r="K34" s="19">
        <v>0</v>
      </c>
      <c r="L34" s="19">
        <v>0</v>
      </c>
      <c r="M34" s="19">
        <v>0</v>
      </c>
      <c r="N34" s="19">
        <v>60</v>
      </c>
      <c r="O34" s="19">
        <v>0</v>
      </c>
      <c r="P34" s="19">
        <v>60</v>
      </c>
      <c r="Q34" s="19">
        <v>60</v>
      </c>
      <c r="R34" s="9">
        <v>8</v>
      </c>
      <c r="S34" s="10" t="s">
        <v>81</v>
      </c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5" customHeight="1" thickBot="1" x14ac:dyDescent="0.35">
      <c r="A35" s="40" t="s">
        <v>172</v>
      </c>
      <c r="B35" s="12">
        <v>135</v>
      </c>
      <c r="C35" s="12">
        <v>7.69</v>
      </c>
      <c r="D35" s="12">
        <v>122.7</v>
      </c>
      <c r="E35" s="12">
        <v>159.19999999999999</v>
      </c>
      <c r="F35" s="12">
        <v>82.25</v>
      </c>
      <c r="G35" s="12">
        <v>0.99</v>
      </c>
      <c r="H35" s="12">
        <v>80.790000000000006</v>
      </c>
      <c r="I35" s="12">
        <v>84.2</v>
      </c>
      <c r="J35" s="12">
        <v>2.79</v>
      </c>
      <c r="K35" s="12">
        <v>0.99</v>
      </c>
      <c r="L35" s="12">
        <v>1.32</v>
      </c>
      <c r="M35" s="12">
        <v>4.74</v>
      </c>
      <c r="N35" s="12">
        <v>58.78</v>
      </c>
      <c r="O35" s="12">
        <v>2.0299999999999998</v>
      </c>
      <c r="P35" s="12">
        <v>55</v>
      </c>
      <c r="Q35" s="12">
        <v>62</v>
      </c>
      <c r="R35" s="14">
        <v>7</v>
      </c>
      <c r="S35" s="50" t="s">
        <v>82</v>
      </c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5" customHeight="1" thickBot="1" x14ac:dyDescent="0.35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4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97" t="s">
        <v>167</v>
      </c>
      <c r="S37" s="16"/>
    </row>
    <row r="38" spans="1:27" s="6" customFormat="1" ht="15.6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98"/>
      <c r="S38" s="16"/>
    </row>
    <row r="39" spans="1:27" s="3" customFormat="1" ht="15.6" x14ac:dyDescent="0.3">
      <c r="A39" s="8" t="s">
        <v>171</v>
      </c>
      <c r="B39" s="9">
        <f>AVERAGE(B4,B11,B18,B25,B32)</f>
        <v>103.18200000000002</v>
      </c>
      <c r="C39" s="9">
        <f>_xlfn.STDEV.S(B4,B11,B18,B25,B32)</f>
        <v>4.508727093094012</v>
      </c>
      <c r="D39" s="9">
        <f>MIN(D4,D11,D18,D25,D32)</f>
        <v>70.900000000000006</v>
      </c>
      <c r="E39" s="9">
        <f>MAX(E4,E11,E18,E25,E32)</f>
        <v>152.80000000000001</v>
      </c>
      <c r="F39" s="9">
        <f t="shared" ref="F39:N39" si="0">AVERAGE(F4,F11,F18,F25,F32)</f>
        <v>67.343999999999994</v>
      </c>
      <c r="G39" s="9">
        <f>_xlfn.STDEV.S(F4,F11,F18,F25,F32)</f>
        <v>0.38610879295867268</v>
      </c>
      <c r="H39" s="9">
        <f>MIN(H4,H11,H18,H25,H32)</f>
        <v>65.430000000000007</v>
      </c>
      <c r="I39" s="9">
        <f>MAX(I4,I11,I18,I25,I32)</f>
        <v>69.010000000000005</v>
      </c>
      <c r="J39" s="9">
        <f t="shared" si="0"/>
        <v>2.5739999999999998</v>
      </c>
      <c r="K39" s="9">
        <f>_xlfn.STDEV.S(J4,J11,J18,J25,J32)</f>
        <v>0.22154006409676782</v>
      </c>
      <c r="L39" s="9">
        <f>MIN(L4,L11,L18,L25,L32)</f>
        <v>0.8</v>
      </c>
      <c r="M39" s="9">
        <f>MAX(M4,M11,M18,M25,M32)</f>
        <v>4.09</v>
      </c>
      <c r="N39" s="9">
        <f t="shared" si="0"/>
        <v>59.988</v>
      </c>
      <c r="O39" s="9">
        <f>_xlfn.STDEV.S(N4,N11,N18,N25,N32)</f>
        <v>1.6431676725155608E-2</v>
      </c>
      <c r="P39" s="9">
        <f>MIN(P4,P11,P18,P25,P32)</f>
        <v>59</v>
      </c>
      <c r="Q39" s="9">
        <f>MAX(Q4,Q11,Q18,Q25,Q32)</f>
        <v>60</v>
      </c>
      <c r="R39" s="9">
        <f t="shared" ref="R39" si="1">AVERAGE(R4,R11,R18,R25,R32)</f>
        <v>9.1999999999999993</v>
      </c>
    </row>
    <row r="40" spans="1:27" s="3" customFormat="1" ht="15.6" x14ac:dyDescent="0.3">
      <c r="A40" s="8" t="s">
        <v>9</v>
      </c>
      <c r="B40" s="9">
        <f t="shared" ref="B40:N42" si="2">AVERAGE(B5,B12,B19,B26,B33)</f>
        <v>106.63</v>
      </c>
      <c r="C40" s="9">
        <f t="shared" ref="C40:C42" si="3">_xlfn.STDEV.S(B5,B12,B19,B26,B33)</f>
        <v>5.4475728540332478</v>
      </c>
      <c r="D40" s="9">
        <f t="shared" ref="D40:D42" si="4">MIN(D5,D12,D19,D26,D33)</f>
        <v>73.2</v>
      </c>
      <c r="E40" s="9">
        <f t="shared" ref="E40:E42" si="5">MAX(E5,E12,E19,E26,E33)</f>
        <v>134.4</v>
      </c>
      <c r="F40" s="9">
        <f t="shared" si="2"/>
        <v>65.451999999999998</v>
      </c>
      <c r="G40" s="9">
        <f t="shared" ref="G40:G42" si="6">_xlfn.STDEV.S(F5,F12,F19,F26,F33)</f>
        <v>3.3253075045775842</v>
      </c>
      <c r="H40" s="9">
        <f t="shared" ref="H40:H42" si="7">MIN(H5,H12,H19,H26,H33)</f>
        <v>59.35</v>
      </c>
      <c r="I40" s="9">
        <f t="shared" ref="I40:I42" si="8">MAX(I5,I12,I19,I26,I33)</f>
        <v>70.650000000000006</v>
      </c>
      <c r="J40" s="9">
        <f t="shared" si="2"/>
        <v>1.3699999999999999</v>
      </c>
      <c r="K40" s="9">
        <f t="shared" ref="K40:K42" si="9">_xlfn.STDEV.S(J5,J12,J19,J26,J33)</f>
        <v>1.0635318518972527</v>
      </c>
      <c r="L40" s="9">
        <f t="shared" ref="L40:L42" si="10">MIN(L5,L12,L19,L26,L33)</f>
        <v>0</v>
      </c>
      <c r="M40" s="9">
        <f t="shared" ref="M40:M42" si="11">MAX(M5,M12,M19,M26,M33)</f>
        <v>3.55</v>
      </c>
      <c r="N40" s="9">
        <f t="shared" si="2"/>
        <v>59.983999999999995</v>
      </c>
      <c r="O40" s="9">
        <f t="shared" ref="O40:O42" si="12">_xlfn.STDEV.S(N5,N12,N19,N26,N33)</f>
        <v>1.5165750888103832E-2</v>
      </c>
      <c r="P40" s="9">
        <f t="shared" ref="P40:P42" si="13">MIN(P5,P12,P19,P26,P33)</f>
        <v>59</v>
      </c>
      <c r="Q40" s="9">
        <f t="shared" ref="Q40:Q42" si="14">MAX(Q5,Q12,Q19,Q26,Q33)</f>
        <v>60</v>
      </c>
      <c r="R40" s="9">
        <f t="shared" ref="R40:R42" si="15">AVERAGE(R5,R12,R19,R26,R33)</f>
        <v>9</v>
      </c>
    </row>
    <row r="41" spans="1:27" s="3" customFormat="1" ht="15.6" x14ac:dyDescent="0.3">
      <c r="A41" s="8" t="s">
        <v>11</v>
      </c>
      <c r="B41" s="9">
        <f t="shared" si="2"/>
        <v>106.904</v>
      </c>
      <c r="C41" s="9">
        <f t="shared" si="3"/>
        <v>6.4657350703535661</v>
      </c>
      <c r="D41" s="9">
        <f t="shared" si="4"/>
        <v>70.599999999999994</v>
      </c>
      <c r="E41" s="9">
        <f t="shared" si="5"/>
        <v>147.19999999999999</v>
      </c>
      <c r="F41" s="9">
        <f t="shared" si="2"/>
        <v>132.886</v>
      </c>
      <c r="G41" s="9">
        <f t="shared" si="6"/>
        <v>4.411720752722232</v>
      </c>
      <c r="H41" s="9">
        <f t="shared" si="7"/>
        <v>125.9</v>
      </c>
      <c r="I41" s="9">
        <f t="shared" si="8"/>
        <v>147.1</v>
      </c>
      <c r="J41" s="9">
        <f t="shared" si="2"/>
        <v>2.032</v>
      </c>
      <c r="K41" s="9">
        <f t="shared" si="9"/>
        <v>3.927482654321977</v>
      </c>
      <c r="L41" s="9">
        <f t="shared" si="10"/>
        <v>0</v>
      </c>
      <c r="M41" s="9">
        <f t="shared" si="11"/>
        <v>9.1999999999999993</v>
      </c>
      <c r="N41" s="9">
        <f t="shared" si="2"/>
        <v>59.977999999999994</v>
      </c>
      <c r="O41" s="9">
        <f t="shared" si="12"/>
        <v>4.9193495504995119E-2</v>
      </c>
      <c r="P41" s="9">
        <f t="shared" si="13"/>
        <v>56</v>
      </c>
      <c r="Q41" s="9">
        <f t="shared" si="14"/>
        <v>60</v>
      </c>
      <c r="R41" s="9">
        <f t="shared" si="15"/>
        <v>9</v>
      </c>
    </row>
    <row r="42" spans="1:27" s="3" customFormat="1" ht="16.2" thickBot="1" x14ac:dyDescent="0.35">
      <c r="A42" s="11" t="s">
        <v>172</v>
      </c>
      <c r="B42" s="9">
        <f t="shared" si="2"/>
        <v>133.364</v>
      </c>
      <c r="C42" s="9">
        <f t="shared" si="3"/>
        <v>1.8816561853856333</v>
      </c>
      <c r="D42" s="9">
        <f t="shared" si="4"/>
        <v>83.6</v>
      </c>
      <c r="E42" s="9">
        <f t="shared" si="5"/>
        <v>199.5</v>
      </c>
      <c r="F42" s="9">
        <f t="shared" si="2"/>
        <v>87.138000000000005</v>
      </c>
      <c r="G42" s="9">
        <f t="shared" si="6"/>
        <v>6.5038273347314517</v>
      </c>
      <c r="H42" s="9">
        <f t="shared" si="7"/>
        <v>80.790000000000006</v>
      </c>
      <c r="I42" s="9">
        <f t="shared" si="8"/>
        <v>100.41</v>
      </c>
      <c r="J42" s="9">
        <f t="shared" si="2"/>
        <v>2.6719999999999997</v>
      </c>
      <c r="K42" s="9">
        <f t="shared" si="9"/>
        <v>0.95161441771339439</v>
      </c>
      <c r="L42" s="9">
        <f t="shared" si="10"/>
        <v>0</v>
      </c>
      <c r="M42" s="9">
        <f t="shared" si="11"/>
        <v>5.96</v>
      </c>
      <c r="N42" s="9">
        <f t="shared" si="2"/>
        <v>59.448</v>
      </c>
      <c r="O42" s="9">
        <f t="shared" si="12"/>
        <v>0.59604530029184777</v>
      </c>
      <c r="P42" s="9">
        <f t="shared" si="13"/>
        <v>55</v>
      </c>
      <c r="Q42" s="9">
        <f t="shared" si="14"/>
        <v>62</v>
      </c>
      <c r="R42" s="9">
        <f t="shared" si="15"/>
        <v>7</v>
      </c>
    </row>
    <row r="44" spans="1:27" ht="15" customHeight="1" x14ac:dyDescent="0.3">
      <c r="A44" s="20"/>
    </row>
  </sheetData>
  <mergeCells count="36">
    <mergeCell ref="A8:XFD8"/>
    <mergeCell ref="A15:XFD15"/>
    <mergeCell ref="A22:XFD22"/>
    <mergeCell ref="A29:XFD29"/>
    <mergeCell ref="A37:A38"/>
    <mergeCell ref="B37:E37"/>
    <mergeCell ref="F37:I37"/>
    <mergeCell ref="J37:M37"/>
    <mergeCell ref="N37:Q37"/>
    <mergeCell ref="A36:XFD36"/>
    <mergeCell ref="A9:A10"/>
    <mergeCell ref="B9:E9"/>
    <mergeCell ref="F9:I9"/>
    <mergeCell ref="J9:M9"/>
    <mergeCell ref="N9:Q9"/>
    <mergeCell ref="A23:A24"/>
    <mergeCell ref="A2:A3"/>
    <mergeCell ref="B2:E2"/>
    <mergeCell ref="F2:I2"/>
    <mergeCell ref="J2:M2"/>
    <mergeCell ref="N2:Q2"/>
    <mergeCell ref="B23:E23"/>
    <mergeCell ref="F23:I23"/>
    <mergeCell ref="J23:M23"/>
    <mergeCell ref="N23:Q23"/>
    <mergeCell ref="A16:A17"/>
    <mergeCell ref="B16:E16"/>
    <mergeCell ref="F16:I16"/>
    <mergeCell ref="J16:M16"/>
    <mergeCell ref="N16:Q16"/>
    <mergeCell ref="R37:R38"/>
    <mergeCell ref="A30:A31"/>
    <mergeCell ref="B30:E30"/>
    <mergeCell ref="F30:I30"/>
    <mergeCell ref="J30:M30"/>
    <mergeCell ref="N30:Q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2" zoomScale="90" zoomScaleNormal="70" workbookViewId="0">
      <selection activeCell="A36" sqref="A36:XFD36"/>
    </sheetView>
  </sheetViews>
  <sheetFormatPr defaultRowHeight="15.6" x14ac:dyDescent="0.3"/>
  <cols>
    <col min="1" max="1" width="21" style="41" customWidth="1"/>
    <col min="2" max="17" width="8.88671875" style="42"/>
    <col min="18" max="18" width="33.33203125" style="2" customWidth="1"/>
    <col min="19" max="16384" width="8.88671875" style="42"/>
  </cols>
  <sheetData>
    <row r="1" spans="1:27" s="36" customFormat="1" ht="16.2" thickBot="1" x14ac:dyDescent="0.35">
      <c r="A1" s="35"/>
      <c r="R1" s="37"/>
    </row>
    <row r="2" spans="1:27" s="39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9" t="s">
        <v>164</v>
      </c>
      <c r="S2" s="38"/>
    </row>
    <row r="3" spans="1:27" s="9" customFormat="1" ht="15.6" customHeight="1" x14ac:dyDescent="0.3">
      <c r="A3" s="72"/>
      <c r="B3" s="7" t="s">
        <v>4</v>
      </c>
      <c r="C3" s="18" t="s">
        <v>5</v>
      </c>
      <c r="D3" s="18" t="s">
        <v>6</v>
      </c>
      <c r="E3" s="18" t="s">
        <v>7</v>
      </c>
      <c r="F3" s="7" t="s">
        <v>4</v>
      </c>
      <c r="G3" s="18" t="s">
        <v>5</v>
      </c>
      <c r="H3" s="18" t="s">
        <v>6</v>
      </c>
      <c r="I3" s="18" t="s">
        <v>7</v>
      </c>
      <c r="J3" s="7" t="s">
        <v>4</v>
      </c>
      <c r="K3" s="18" t="s">
        <v>5</v>
      </c>
      <c r="L3" s="18" t="s">
        <v>6</v>
      </c>
      <c r="M3" s="18" t="s">
        <v>7</v>
      </c>
      <c r="N3" s="7" t="s">
        <v>4</v>
      </c>
      <c r="O3" s="18" t="s">
        <v>5</v>
      </c>
      <c r="P3" s="18" t="s">
        <v>6</v>
      </c>
      <c r="Q3" s="18" t="s">
        <v>7</v>
      </c>
      <c r="R3" s="18" t="s">
        <v>170</v>
      </c>
      <c r="S3" s="10"/>
    </row>
    <row r="4" spans="1:27" s="9" customFormat="1" x14ac:dyDescent="0.3">
      <c r="A4" s="64" t="s">
        <v>171</v>
      </c>
      <c r="B4" s="9">
        <v>112.86</v>
      </c>
      <c r="C4" s="9">
        <v>4.88</v>
      </c>
      <c r="D4" s="9">
        <v>106.8</v>
      </c>
      <c r="E4" s="9">
        <v>127.1</v>
      </c>
      <c r="F4" s="9">
        <v>112.07</v>
      </c>
      <c r="G4" s="9">
        <v>7.38</v>
      </c>
      <c r="H4" s="9">
        <v>94.55</v>
      </c>
      <c r="I4" s="9">
        <v>127.14</v>
      </c>
      <c r="J4" s="9">
        <v>35.159999999999997</v>
      </c>
      <c r="K4" s="9">
        <v>7.38</v>
      </c>
      <c r="L4" s="9">
        <v>17.649999999999999</v>
      </c>
      <c r="M4" s="9">
        <v>50.23</v>
      </c>
      <c r="N4" s="9">
        <v>59.98</v>
      </c>
      <c r="O4" s="9">
        <v>0.14000000000000001</v>
      </c>
      <c r="P4" s="9">
        <v>59</v>
      </c>
      <c r="Q4" s="9">
        <v>60</v>
      </c>
      <c r="R4" s="9">
        <v>53</v>
      </c>
      <c r="S4" s="10" t="s">
        <v>83</v>
      </c>
    </row>
    <row r="5" spans="1:27" s="9" customFormat="1" x14ac:dyDescent="0.3">
      <c r="A5" s="64" t="s">
        <v>9</v>
      </c>
      <c r="B5" s="61">
        <v>126.36</v>
      </c>
      <c r="C5" s="61">
        <v>8.17</v>
      </c>
      <c r="D5" s="61">
        <v>116.7</v>
      </c>
      <c r="E5" s="61">
        <v>150.5</v>
      </c>
      <c r="F5" s="61">
        <v>130.28</v>
      </c>
      <c r="G5" s="61">
        <v>9.43</v>
      </c>
      <c r="H5" s="61">
        <v>113.65</v>
      </c>
      <c r="I5" s="61">
        <v>157.93</v>
      </c>
      <c r="J5" s="61">
        <v>68.569999999999993</v>
      </c>
      <c r="K5" s="61">
        <v>9.43</v>
      </c>
      <c r="L5" s="61">
        <v>51.94</v>
      </c>
      <c r="M5" s="61">
        <v>96.22</v>
      </c>
      <c r="N5" s="9">
        <v>59.97</v>
      </c>
      <c r="O5" s="9">
        <v>0.17</v>
      </c>
      <c r="P5" s="9">
        <v>59</v>
      </c>
      <c r="Q5" s="9">
        <v>60</v>
      </c>
      <c r="R5" s="9">
        <v>72</v>
      </c>
      <c r="S5" s="10" t="s">
        <v>84</v>
      </c>
    </row>
    <row r="6" spans="1:27" s="9" customFormat="1" x14ac:dyDescent="0.3">
      <c r="A6" s="64" t="s">
        <v>11</v>
      </c>
      <c r="B6" s="9">
        <v>209.78</v>
      </c>
      <c r="C6" s="9">
        <v>22.11</v>
      </c>
      <c r="D6" s="9">
        <v>195.5</v>
      </c>
      <c r="E6" s="9">
        <v>427.5</v>
      </c>
      <c r="F6" s="9">
        <v>199.72</v>
      </c>
      <c r="G6" s="9">
        <v>17</v>
      </c>
      <c r="H6" s="9">
        <v>167</v>
      </c>
      <c r="I6" s="9">
        <v>229.9</v>
      </c>
      <c r="J6" s="9">
        <v>50.22</v>
      </c>
      <c r="K6" s="9">
        <v>17</v>
      </c>
      <c r="L6" s="9">
        <v>17.5</v>
      </c>
      <c r="M6" s="9">
        <v>80.400000000000006</v>
      </c>
      <c r="N6" s="9">
        <v>58.64</v>
      </c>
      <c r="O6" s="9">
        <v>1.1399999999999999</v>
      </c>
      <c r="P6" s="9">
        <v>54</v>
      </c>
      <c r="Q6" s="9">
        <v>60</v>
      </c>
      <c r="R6" s="9">
        <v>106</v>
      </c>
      <c r="S6" s="10" t="s">
        <v>85</v>
      </c>
    </row>
    <row r="7" spans="1:27" s="14" customFormat="1" ht="16.2" thickBot="1" x14ac:dyDescent="0.35">
      <c r="A7" s="40" t="s">
        <v>172</v>
      </c>
      <c r="B7" s="12">
        <v>107.61</v>
      </c>
      <c r="C7" s="12">
        <v>8</v>
      </c>
      <c r="D7" s="12">
        <v>92.3</v>
      </c>
      <c r="E7" s="12">
        <v>135.4</v>
      </c>
      <c r="F7" s="12">
        <v>856.43</v>
      </c>
      <c r="G7" s="12">
        <v>23.24</v>
      </c>
      <c r="H7" s="12">
        <v>797.66</v>
      </c>
      <c r="I7" s="12">
        <v>940.84</v>
      </c>
      <c r="J7" s="12">
        <v>45.52</v>
      </c>
      <c r="K7" s="12">
        <v>21.98</v>
      </c>
      <c r="L7" s="12">
        <v>0</v>
      </c>
      <c r="M7" s="12">
        <v>129.38</v>
      </c>
      <c r="N7" s="12">
        <v>2.94</v>
      </c>
      <c r="O7" s="12">
        <v>0.24</v>
      </c>
      <c r="P7" s="12">
        <v>2</v>
      </c>
      <c r="Q7" s="12">
        <v>3</v>
      </c>
      <c r="R7" s="14">
        <v>107</v>
      </c>
      <c r="S7" s="13" t="s">
        <v>86</v>
      </c>
      <c r="T7" s="12"/>
      <c r="U7" s="12"/>
      <c r="V7" s="12"/>
      <c r="W7" s="12"/>
      <c r="X7" s="12"/>
      <c r="Y7" s="12"/>
      <c r="Z7" s="12"/>
      <c r="AA7" s="12"/>
    </row>
    <row r="8" spans="1:27" s="94" customFormat="1" ht="16.2" thickBot="1" x14ac:dyDescent="0.35">
      <c r="A8" s="92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3"/>
    </row>
    <row r="9" spans="1:27" s="39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9" t="s">
        <v>164</v>
      </c>
      <c r="S9" s="38"/>
    </row>
    <row r="10" spans="1:27" s="9" customFormat="1" x14ac:dyDescent="0.3">
      <c r="A10" s="72"/>
      <c r="B10" s="7" t="s">
        <v>4</v>
      </c>
      <c r="C10" s="18" t="s">
        <v>5</v>
      </c>
      <c r="D10" s="18" t="s">
        <v>6</v>
      </c>
      <c r="E10" s="18" t="s">
        <v>7</v>
      </c>
      <c r="F10" s="7" t="s">
        <v>4</v>
      </c>
      <c r="G10" s="18" t="s">
        <v>5</v>
      </c>
      <c r="H10" s="18" t="s">
        <v>6</v>
      </c>
      <c r="I10" s="18" t="s">
        <v>7</v>
      </c>
      <c r="J10" s="7" t="s">
        <v>4</v>
      </c>
      <c r="K10" s="18" t="s">
        <v>5</v>
      </c>
      <c r="L10" s="18" t="s">
        <v>6</v>
      </c>
      <c r="M10" s="18" t="s">
        <v>7</v>
      </c>
      <c r="N10" s="7" t="s">
        <v>4</v>
      </c>
      <c r="O10" s="18" t="s">
        <v>5</v>
      </c>
      <c r="P10" s="18" t="s">
        <v>6</v>
      </c>
      <c r="Q10" s="18" t="s">
        <v>7</v>
      </c>
      <c r="R10" s="18" t="s">
        <v>170</v>
      </c>
      <c r="S10" s="10"/>
    </row>
    <row r="11" spans="1:27" s="9" customFormat="1" x14ac:dyDescent="0.3">
      <c r="A11" s="64" t="s">
        <v>171</v>
      </c>
      <c r="B11" s="9">
        <v>111.96</v>
      </c>
      <c r="C11" s="9">
        <v>4.71</v>
      </c>
      <c r="D11" s="9">
        <v>106.4</v>
      </c>
      <c r="E11" s="9">
        <v>128.9</v>
      </c>
      <c r="F11" s="61">
        <v>105.53</v>
      </c>
      <c r="G11" s="61">
        <v>6.57</v>
      </c>
      <c r="H11" s="61">
        <v>91.71</v>
      </c>
      <c r="I11" s="61">
        <v>115.19</v>
      </c>
      <c r="J11" s="61">
        <v>36.590000000000003</v>
      </c>
      <c r="K11" s="61">
        <v>6.57</v>
      </c>
      <c r="L11" s="61">
        <v>22.77</v>
      </c>
      <c r="M11" s="61">
        <v>46.25</v>
      </c>
      <c r="N11" s="61">
        <v>59.92</v>
      </c>
      <c r="O11" s="61">
        <v>0.27</v>
      </c>
      <c r="P11" s="61">
        <v>59</v>
      </c>
      <c r="Q11" s="61">
        <v>60</v>
      </c>
      <c r="R11" s="9">
        <v>53</v>
      </c>
      <c r="S11" s="10" t="s">
        <v>87</v>
      </c>
    </row>
    <row r="12" spans="1:27" s="9" customFormat="1" x14ac:dyDescent="0.3">
      <c r="A12" s="64" t="s">
        <v>9</v>
      </c>
      <c r="B12" s="9">
        <v>126.28</v>
      </c>
      <c r="C12" s="9">
        <v>6.01</v>
      </c>
      <c r="D12" s="9">
        <v>117.1</v>
      </c>
      <c r="E12" s="9">
        <v>144</v>
      </c>
      <c r="F12" s="61">
        <v>133.88999999999999</v>
      </c>
      <c r="G12" s="61">
        <v>9.6199999999999992</v>
      </c>
      <c r="H12" s="61">
        <v>116.86</v>
      </c>
      <c r="I12" s="61">
        <v>158.30000000000001</v>
      </c>
      <c r="J12" s="61">
        <v>67.78</v>
      </c>
      <c r="K12" s="61">
        <v>9.6199999999999992</v>
      </c>
      <c r="L12" s="61">
        <v>50.75</v>
      </c>
      <c r="M12" s="61">
        <v>92.19</v>
      </c>
      <c r="N12" s="61">
        <v>59.94</v>
      </c>
      <c r="O12" s="61">
        <v>0.23</v>
      </c>
      <c r="P12" s="61">
        <v>59</v>
      </c>
      <c r="Q12" s="61">
        <v>60</v>
      </c>
      <c r="R12" s="9">
        <v>72</v>
      </c>
      <c r="S12" s="10" t="s">
        <v>88</v>
      </c>
    </row>
    <row r="13" spans="1:27" s="9" customFormat="1" x14ac:dyDescent="0.3">
      <c r="A13" s="64" t="s">
        <v>11</v>
      </c>
      <c r="B13" s="9">
        <v>208.71</v>
      </c>
      <c r="C13" s="9">
        <v>22.19</v>
      </c>
      <c r="D13" s="9">
        <v>193.2</v>
      </c>
      <c r="E13" s="9">
        <v>425.8</v>
      </c>
      <c r="F13" s="61">
        <v>193.52</v>
      </c>
      <c r="G13" s="61">
        <v>18.61</v>
      </c>
      <c r="H13" s="61">
        <v>156.19999999999999</v>
      </c>
      <c r="I13" s="61">
        <v>236</v>
      </c>
      <c r="J13" s="61">
        <v>47.42</v>
      </c>
      <c r="K13" s="61">
        <v>18.61</v>
      </c>
      <c r="L13" s="61">
        <v>10.1</v>
      </c>
      <c r="M13" s="61">
        <v>89.9</v>
      </c>
      <c r="N13" s="61">
        <v>58.49</v>
      </c>
      <c r="O13" s="61">
        <v>1.36</v>
      </c>
      <c r="P13" s="61">
        <v>54</v>
      </c>
      <c r="Q13" s="61">
        <v>60</v>
      </c>
      <c r="R13" s="9">
        <v>105</v>
      </c>
      <c r="S13" s="10" t="s">
        <v>89</v>
      </c>
    </row>
    <row r="14" spans="1:27" s="14" customFormat="1" ht="16.2" thickBot="1" x14ac:dyDescent="0.35">
      <c r="A14" s="40" t="s">
        <v>172</v>
      </c>
      <c r="B14" s="62">
        <v>107.7</v>
      </c>
      <c r="C14" s="12">
        <v>7.97</v>
      </c>
      <c r="D14" s="12">
        <v>92.7</v>
      </c>
      <c r="E14" s="12">
        <v>135.9</v>
      </c>
      <c r="F14" s="12">
        <v>848.8</v>
      </c>
      <c r="G14" s="12">
        <v>17.34</v>
      </c>
      <c r="H14" s="12">
        <v>781.94</v>
      </c>
      <c r="I14" s="12">
        <v>875.94</v>
      </c>
      <c r="J14" s="12">
        <v>37.159999999999997</v>
      </c>
      <c r="K14" s="12">
        <v>13.59</v>
      </c>
      <c r="L14" s="12">
        <v>0</v>
      </c>
      <c r="M14" s="12">
        <v>63.1</v>
      </c>
      <c r="N14" s="12">
        <v>2.97</v>
      </c>
      <c r="O14" s="12">
        <v>0.18</v>
      </c>
      <c r="P14" s="12">
        <v>2</v>
      </c>
      <c r="Q14" s="12">
        <v>3</v>
      </c>
      <c r="R14" s="14">
        <v>107</v>
      </c>
      <c r="S14" s="13" t="s">
        <v>90</v>
      </c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6.2" thickBot="1" x14ac:dyDescent="0.35">
      <c r="A15" s="92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3"/>
    </row>
    <row r="16" spans="1:27" s="39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39" t="s">
        <v>164</v>
      </c>
      <c r="S16" s="38"/>
    </row>
    <row r="17" spans="1:27" s="9" customFormat="1" x14ac:dyDescent="0.3">
      <c r="A17" s="72"/>
      <c r="B17" s="7" t="s">
        <v>4</v>
      </c>
      <c r="C17" s="18" t="s">
        <v>5</v>
      </c>
      <c r="D17" s="18" t="s">
        <v>6</v>
      </c>
      <c r="E17" s="18" t="s">
        <v>7</v>
      </c>
      <c r="F17" s="7" t="s">
        <v>4</v>
      </c>
      <c r="G17" s="18" t="s">
        <v>5</v>
      </c>
      <c r="H17" s="18" t="s">
        <v>6</v>
      </c>
      <c r="I17" s="18" t="s">
        <v>7</v>
      </c>
      <c r="J17" s="7" t="s">
        <v>4</v>
      </c>
      <c r="K17" s="18" t="s">
        <v>5</v>
      </c>
      <c r="L17" s="18" t="s">
        <v>6</v>
      </c>
      <c r="M17" s="18" t="s">
        <v>7</v>
      </c>
      <c r="N17" s="7" t="s">
        <v>4</v>
      </c>
      <c r="O17" s="18" t="s">
        <v>5</v>
      </c>
      <c r="P17" s="18" t="s">
        <v>6</v>
      </c>
      <c r="Q17" s="18" t="s">
        <v>7</v>
      </c>
      <c r="R17" s="18" t="s">
        <v>170</v>
      </c>
      <c r="S17" s="10"/>
    </row>
    <row r="18" spans="1:27" s="9" customFormat="1" x14ac:dyDescent="0.3">
      <c r="A18" s="64" t="s">
        <v>171</v>
      </c>
      <c r="B18" s="9">
        <v>112.79</v>
      </c>
      <c r="C18" s="9">
        <v>4.53</v>
      </c>
      <c r="D18" s="9">
        <v>107.3</v>
      </c>
      <c r="E18" s="9">
        <v>124.5</v>
      </c>
      <c r="F18" s="61">
        <v>104.76</v>
      </c>
      <c r="G18" s="61">
        <v>6.91</v>
      </c>
      <c r="H18" s="61">
        <v>90.12</v>
      </c>
      <c r="I18" s="61">
        <v>115.59</v>
      </c>
      <c r="J18" s="61">
        <v>41.58</v>
      </c>
      <c r="K18" s="61">
        <v>6.91</v>
      </c>
      <c r="L18" s="61">
        <v>26.93</v>
      </c>
      <c r="M18" s="61">
        <v>52.41</v>
      </c>
      <c r="N18" s="61">
        <v>60</v>
      </c>
      <c r="O18" s="61">
        <v>0</v>
      </c>
      <c r="P18" s="61">
        <v>60</v>
      </c>
      <c r="Q18" s="61">
        <v>60</v>
      </c>
      <c r="R18" s="9">
        <v>54</v>
      </c>
      <c r="S18" s="10" t="s">
        <v>91</v>
      </c>
    </row>
    <row r="19" spans="1:27" s="9" customFormat="1" x14ac:dyDescent="0.3">
      <c r="A19" s="64" t="s">
        <v>9</v>
      </c>
      <c r="B19" s="19">
        <v>128.43</v>
      </c>
      <c r="C19" s="19">
        <v>8.8699999999999992</v>
      </c>
      <c r="D19" s="19">
        <v>117.2</v>
      </c>
      <c r="E19" s="19">
        <v>153.1</v>
      </c>
      <c r="F19" s="19">
        <v>133.26</v>
      </c>
      <c r="G19" s="19">
        <v>9.0399999999999991</v>
      </c>
      <c r="H19" s="19">
        <v>117.38</v>
      </c>
      <c r="I19" s="19">
        <v>163.15</v>
      </c>
      <c r="J19" s="19">
        <v>69.09</v>
      </c>
      <c r="K19" s="19">
        <v>9.0399999999999991</v>
      </c>
      <c r="L19" s="19">
        <v>53.21</v>
      </c>
      <c r="M19" s="19">
        <v>98.97</v>
      </c>
      <c r="N19" s="19">
        <v>59.96</v>
      </c>
      <c r="O19" s="19">
        <v>0.2</v>
      </c>
      <c r="P19" s="19">
        <v>59</v>
      </c>
      <c r="Q19" s="19">
        <v>60</v>
      </c>
      <c r="R19" s="9">
        <v>73</v>
      </c>
      <c r="S19" s="10" t="s">
        <v>92</v>
      </c>
      <c r="T19" s="19"/>
      <c r="U19" s="19"/>
      <c r="V19" s="19"/>
      <c r="W19" s="19"/>
      <c r="X19" s="19"/>
      <c r="Y19" s="19"/>
      <c r="Z19" s="19"/>
      <c r="AA19" s="19"/>
    </row>
    <row r="20" spans="1:27" s="9" customFormat="1" x14ac:dyDescent="0.3">
      <c r="A20" s="64" t="s">
        <v>11</v>
      </c>
      <c r="B20" s="19">
        <v>208.36</v>
      </c>
      <c r="C20" s="19">
        <v>23.98</v>
      </c>
      <c r="D20" s="19">
        <v>192.3</v>
      </c>
      <c r="E20" s="19">
        <v>443.6</v>
      </c>
      <c r="F20" s="19">
        <v>207.72</v>
      </c>
      <c r="G20" s="19">
        <v>18.670000000000002</v>
      </c>
      <c r="H20" s="19">
        <v>167.9</v>
      </c>
      <c r="I20" s="19">
        <v>247.2</v>
      </c>
      <c r="J20" s="19">
        <v>48.12</v>
      </c>
      <c r="K20" s="19">
        <v>18.670000000000002</v>
      </c>
      <c r="L20" s="19">
        <v>8.3000000000000007</v>
      </c>
      <c r="M20" s="19">
        <v>87.6</v>
      </c>
      <c r="N20" s="19">
        <v>58.62</v>
      </c>
      <c r="O20" s="19">
        <v>1.1599999999999999</v>
      </c>
      <c r="P20" s="19">
        <v>55</v>
      </c>
      <c r="Q20" s="19">
        <v>60</v>
      </c>
      <c r="R20" s="9">
        <v>104</v>
      </c>
      <c r="S20" s="10" t="s">
        <v>93</v>
      </c>
      <c r="T20" s="19"/>
      <c r="U20" s="19"/>
      <c r="V20" s="19"/>
      <c r="W20" s="19"/>
      <c r="X20" s="19"/>
      <c r="Y20" s="19"/>
      <c r="Z20" s="19"/>
      <c r="AA20" s="19"/>
    </row>
    <row r="21" spans="1:27" s="14" customFormat="1" ht="16.2" thickBot="1" x14ac:dyDescent="0.35">
      <c r="A21" s="40" t="s">
        <v>172</v>
      </c>
      <c r="B21" s="12">
        <v>107.84</v>
      </c>
      <c r="C21" s="12">
        <v>7.99</v>
      </c>
      <c r="D21" s="12">
        <v>92.8</v>
      </c>
      <c r="E21" s="12">
        <v>135.6</v>
      </c>
      <c r="F21" s="12">
        <v>851.4</v>
      </c>
      <c r="G21" s="12">
        <v>11.38</v>
      </c>
      <c r="H21" s="12">
        <v>798.74</v>
      </c>
      <c r="I21" s="12">
        <v>867.54</v>
      </c>
      <c r="J21" s="12">
        <v>42.01</v>
      </c>
      <c r="K21" s="12">
        <v>10.64</v>
      </c>
      <c r="L21" s="12">
        <v>0</v>
      </c>
      <c r="M21" s="12">
        <v>57.99</v>
      </c>
      <c r="N21" s="12">
        <v>2.98</v>
      </c>
      <c r="O21" s="12">
        <v>0.13</v>
      </c>
      <c r="P21" s="12">
        <v>2</v>
      </c>
      <c r="Q21" s="12">
        <v>3</v>
      </c>
      <c r="R21" s="14">
        <v>106</v>
      </c>
      <c r="S21" s="13" t="s">
        <v>94</v>
      </c>
      <c r="T21" s="12"/>
      <c r="U21" s="12"/>
      <c r="V21" s="12"/>
      <c r="W21" s="12"/>
      <c r="X21" s="12"/>
      <c r="Y21" s="12"/>
      <c r="Z21" s="12"/>
      <c r="AA21" s="12"/>
    </row>
    <row r="22" spans="1:27" s="70" customFormat="1" ht="16.2" thickBot="1" x14ac:dyDescent="0.35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5"/>
    </row>
    <row r="23" spans="1:27" s="39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39" t="s">
        <v>164</v>
      </c>
      <c r="S23" s="38"/>
    </row>
    <row r="24" spans="1:27" s="9" customFormat="1" x14ac:dyDescent="0.3">
      <c r="A24" s="82"/>
      <c r="B24" s="7" t="s">
        <v>4</v>
      </c>
      <c r="C24" s="18" t="s">
        <v>5</v>
      </c>
      <c r="D24" s="18" t="s">
        <v>6</v>
      </c>
      <c r="E24" s="18" t="s">
        <v>7</v>
      </c>
      <c r="F24" s="7" t="s">
        <v>4</v>
      </c>
      <c r="G24" s="18" t="s">
        <v>5</v>
      </c>
      <c r="H24" s="18" t="s">
        <v>6</v>
      </c>
      <c r="I24" s="18" t="s">
        <v>7</v>
      </c>
      <c r="J24" s="7" t="s">
        <v>4</v>
      </c>
      <c r="K24" s="18" t="s">
        <v>5</v>
      </c>
      <c r="L24" s="18" t="s">
        <v>6</v>
      </c>
      <c r="M24" s="18" t="s">
        <v>7</v>
      </c>
      <c r="N24" s="7" t="s">
        <v>4</v>
      </c>
      <c r="O24" s="18" t="s">
        <v>5</v>
      </c>
      <c r="P24" s="18" t="s">
        <v>6</v>
      </c>
      <c r="Q24" s="18" t="s">
        <v>7</v>
      </c>
      <c r="R24" s="18" t="s">
        <v>170</v>
      </c>
      <c r="S24" s="10"/>
    </row>
    <row r="25" spans="1:27" s="9" customFormat="1" x14ac:dyDescent="0.3">
      <c r="A25" s="64" t="s">
        <v>171</v>
      </c>
      <c r="B25" s="19">
        <v>114.59</v>
      </c>
      <c r="C25" s="19">
        <v>6.28</v>
      </c>
      <c r="D25" s="19">
        <v>107.4</v>
      </c>
      <c r="E25" s="19">
        <v>134.30000000000001</v>
      </c>
      <c r="F25" s="19">
        <v>112.08</v>
      </c>
      <c r="G25" s="19">
        <v>7.39</v>
      </c>
      <c r="H25" s="19">
        <v>97.98</v>
      </c>
      <c r="I25" s="19">
        <v>136.59</v>
      </c>
      <c r="J25" s="19">
        <v>36.47</v>
      </c>
      <c r="K25" s="19">
        <v>7.39</v>
      </c>
      <c r="L25" s="19">
        <v>22.38</v>
      </c>
      <c r="M25" s="19">
        <v>60.99</v>
      </c>
      <c r="N25" s="19">
        <v>59.98</v>
      </c>
      <c r="O25" s="19">
        <v>0.14000000000000001</v>
      </c>
      <c r="P25" s="19">
        <v>59</v>
      </c>
      <c r="Q25" s="19">
        <v>60</v>
      </c>
      <c r="R25" s="9">
        <v>53</v>
      </c>
      <c r="S25" s="10" t="s">
        <v>95</v>
      </c>
      <c r="T25" s="19"/>
      <c r="U25" s="19"/>
      <c r="V25" s="19"/>
      <c r="W25" s="19"/>
      <c r="X25" s="19"/>
      <c r="Y25" s="19"/>
      <c r="Z25" s="19"/>
      <c r="AA25" s="19"/>
    </row>
    <row r="26" spans="1:27" s="9" customFormat="1" x14ac:dyDescent="0.3">
      <c r="A26" s="64" t="s">
        <v>9</v>
      </c>
      <c r="B26" s="19">
        <v>125.29</v>
      </c>
      <c r="C26" s="19">
        <v>7.29</v>
      </c>
      <c r="D26" s="19">
        <v>117.1</v>
      </c>
      <c r="E26" s="19">
        <v>147.80000000000001</v>
      </c>
      <c r="F26" s="19">
        <v>132.63999999999999</v>
      </c>
      <c r="G26" s="19">
        <v>9.57</v>
      </c>
      <c r="H26" s="19">
        <v>118.33</v>
      </c>
      <c r="I26" s="19">
        <v>158.05000000000001</v>
      </c>
      <c r="J26" s="19">
        <v>64.97</v>
      </c>
      <c r="K26" s="19">
        <v>9.57</v>
      </c>
      <c r="L26" s="19">
        <v>50.66</v>
      </c>
      <c r="M26" s="19">
        <v>90.39</v>
      </c>
      <c r="N26" s="19">
        <v>59.94</v>
      </c>
      <c r="O26" s="19">
        <v>0.23</v>
      </c>
      <c r="P26" s="19">
        <v>59</v>
      </c>
      <c r="Q26" s="19">
        <v>60</v>
      </c>
      <c r="R26" s="9">
        <v>72</v>
      </c>
      <c r="S26" s="10" t="s">
        <v>96</v>
      </c>
      <c r="T26" s="19"/>
      <c r="U26" s="19"/>
      <c r="V26" s="19"/>
      <c r="W26" s="19"/>
      <c r="X26" s="19"/>
      <c r="Y26" s="19"/>
      <c r="Z26" s="19"/>
      <c r="AA26" s="19"/>
    </row>
    <row r="27" spans="1:27" s="9" customFormat="1" x14ac:dyDescent="0.3">
      <c r="A27" s="64" t="s">
        <v>11</v>
      </c>
      <c r="B27" s="19">
        <v>209.1</v>
      </c>
      <c r="C27" s="19">
        <v>21.4</v>
      </c>
      <c r="D27" s="19">
        <v>190.5</v>
      </c>
      <c r="E27" s="19">
        <v>415.6</v>
      </c>
      <c r="F27" s="19">
        <v>203.81</v>
      </c>
      <c r="G27" s="19">
        <v>17.59</v>
      </c>
      <c r="H27" s="19">
        <v>169.9</v>
      </c>
      <c r="I27" s="19">
        <v>238.2</v>
      </c>
      <c r="J27" s="19">
        <v>48.61</v>
      </c>
      <c r="K27" s="19">
        <v>17.59</v>
      </c>
      <c r="L27" s="19">
        <v>14.7</v>
      </c>
      <c r="M27" s="19">
        <v>83</v>
      </c>
      <c r="N27" s="19">
        <v>58.65</v>
      </c>
      <c r="O27" s="19">
        <v>1.24</v>
      </c>
      <c r="P27" s="19">
        <v>54</v>
      </c>
      <c r="Q27" s="19">
        <v>60</v>
      </c>
      <c r="R27" s="9">
        <v>104</v>
      </c>
      <c r="S27" s="10" t="s">
        <v>97</v>
      </c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6.2" thickBot="1" x14ac:dyDescent="0.35">
      <c r="A28" s="40" t="s">
        <v>172</v>
      </c>
      <c r="B28" s="12">
        <v>107.35</v>
      </c>
      <c r="C28" s="12">
        <v>7.29</v>
      </c>
      <c r="D28" s="12">
        <v>94.1</v>
      </c>
      <c r="E28" s="12">
        <v>135.19999999999999</v>
      </c>
      <c r="F28" s="12">
        <v>856.64</v>
      </c>
      <c r="G28" s="12">
        <v>15.92</v>
      </c>
      <c r="H28" s="12">
        <v>798.63</v>
      </c>
      <c r="I28" s="12">
        <v>938.77</v>
      </c>
      <c r="J28" s="12">
        <v>47.17</v>
      </c>
      <c r="K28" s="12">
        <v>15.33</v>
      </c>
      <c r="L28" s="12">
        <v>0</v>
      </c>
      <c r="M28" s="12">
        <v>129.13</v>
      </c>
      <c r="N28" s="12">
        <v>2.97</v>
      </c>
      <c r="O28" s="12">
        <v>0.18</v>
      </c>
      <c r="P28" s="12">
        <v>2</v>
      </c>
      <c r="Q28" s="12">
        <v>3</v>
      </c>
      <c r="R28" s="14">
        <v>107</v>
      </c>
      <c r="S28" s="13" t="s">
        <v>98</v>
      </c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6.2" thickBot="1" x14ac:dyDescent="0.3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3"/>
    </row>
    <row r="30" spans="1:27" s="39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9" t="s">
        <v>164</v>
      </c>
      <c r="S30" s="38"/>
    </row>
    <row r="31" spans="1:27" s="9" customFormat="1" x14ac:dyDescent="0.3">
      <c r="A31" s="72"/>
      <c r="B31" s="7" t="s">
        <v>4</v>
      </c>
      <c r="C31" s="18" t="s">
        <v>5</v>
      </c>
      <c r="D31" s="18" t="s">
        <v>6</v>
      </c>
      <c r="E31" s="18" t="s">
        <v>7</v>
      </c>
      <c r="F31" s="7" t="s">
        <v>4</v>
      </c>
      <c r="G31" s="18" t="s">
        <v>5</v>
      </c>
      <c r="H31" s="18" t="s">
        <v>6</v>
      </c>
      <c r="I31" s="18" t="s">
        <v>7</v>
      </c>
      <c r="J31" s="7" t="s">
        <v>4</v>
      </c>
      <c r="K31" s="18" t="s">
        <v>5</v>
      </c>
      <c r="L31" s="18" t="s">
        <v>6</v>
      </c>
      <c r="M31" s="18" t="s">
        <v>7</v>
      </c>
      <c r="N31" s="7" t="s">
        <v>4</v>
      </c>
      <c r="O31" s="18" t="s">
        <v>5</v>
      </c>
      <c r="P31" s="18" t="s">
        <v>6</v>
      </c>
      <c r="Q31" s="18" t="s">
        <v>7</v>
      </c>
      <c r="R31" s="18" t="s">
        <v>170</v>
      </c>
      <c r="S31" s="10"/>
    </row>
    <row r="32" spans="1:27" s="9" customFormat="1" x14ac:dyDescent="0.3">
      <c r="A32" s="64" t="s">
        <v>171</v>
      </c>
      <c r="B32" s="19">
        <v>113.05</v>
      </c>
      <c r="C32" s="19">
        <v>5.27</v>
      </c>
      <c r="D32" s="19">
        <v>102.8</v>
      </c>
      <c r="E32" s="19">
        <v>127</v>
      </c>
      <c r="F32" s="19">
        <v>107.33</v>
      </c>
      <c r="G32" s="19">
        <v>7.12</v>
      </c>
      <c r="H32" s="19">
        <v>90.65</v>
      </c>
      <c r="I32" s="19">
        <v>120.98</v>
      </c>
      <c r="J32" s="19">
        <v>40.92</v>
      </c>
      <c r="K32" s="19">
        <v>7.12</v>
      </c>
      <c r="L32" s="19">
        <v>24.24</v>
      </c>
      <c r="M32" s="19">
        <v>54.58</v>
      </c>
      <c r="N32" s="19">
        <v>59.98</v>
      </c>
      <c r="O32" s="19">
        <v>0.14000000000000001</v>
      </c>
      <c r="P32" s="19">
        <v>59</v>
      </c>
      <c r="Q32" s="19">
        <v>60</v>
      </c>
      <c r="R32" s="9">
        <v>54</v>
      </c>
      <c r="S32" s="10" t="s">
        <v>99</v>
      </c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126.36</v>
      </c>
      <c r="C33" s="19">
        <v>8.17</v>
      </c>
      <c r="D33" s="19">
        <v>116.7</v>
      </c>
      <c r="E33" s="19">
        <v>150.5</v>
      </c>
      <c r="F33" s="19">
        <v>130.28</v>
      </c>
      <c r="G33" s="19">
        <v>9.43</v>
      </c>
      <c r="H33" s="19">
        <v>113.65</v>
      </c>
      <c r="I33" s="19">
        <v>157.93</v>
      </c>
      <c r="J33" s="19">
        <v>68.569999999999993</v>
      </c>
      <c r="K33" s="19">
        <v>9.43</v>
      </c>
      <c r="L33" s="19">
        <v>51.94</v>
      </c>
      <c r="M33" s="19">
        <v>96.22</v>
      </c>
      <c r="N33" s="19">
        <v>59.97</v>
      </c>
      <c r="O33" s="19">
        <v>0.17</v>
      </c>
      <c r="P33" s="19">
        <v>59</v>
      </c>
      <c r="Q33" s="19">
        <v>60</v>
      </c>
      <c r="R33" s="9">
        <v>72</v>
      </c>
      <c r="S33" s="10" t="s">
        <v>84</v>
      </c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208.78</v>
      </c>
      <c r="C34" s="19">
        <v>22.39</v>
      </c>
      <c r="D34" s="19">
        <v>186.4</v>
      </c>
      <c r="E34" s="19">
        <v>425.2</v>
      </c>
      <c r="F34" s="19">
        <v>197.05</v>
      </c>
      <c r="G34" s="19">
        <v>18.78</v>
      </c>
      <c r="H34" s="19">
        <v>158.6</v>
      </c>
      <c r="I34" s="19">
        <v>242.1</v>
      </c>
      <c r="J34" s="19">
        <v>50.15</v>
      </c>
      <c r="K34" s="19">
        <v>18.78</v>
      </c>
      <c r="L34" s="19">
        <v>11.7</v>
      </c>
      <c r="M34" s="19">
        <v>95.2</v>
      </c>
      <c r="N34" s="19">
        <v>58.6</v>
      </c>
      <c r="O34" s="19">
        <v>1.31</v>
      </c>
      <c r="P34" s="19">
        <v>54</v>
      </c>
      <c r="Q34" s="19">
        <v>60</v>
      </c>
      <c r="R34" s="9">
        <v>104</v>
      </c>
      <c r="S34" s="10" t="s">
        <v>100</v>
      </c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2">
        <v>108.01</v>
      </c>
      <c r="C35" s="12">
        <v>8.08</v>
      </c>
      <c r="D35" s="12">
        <v>94.3</v>
      </c>
      <c r="E35" s="12">
        <v>136.19999999999999</v>
      </c>
      <c r="F35" s="12">
        <v>854.41</v>
      </c>
      <c r="G35" s="12">
        <v>12.13</v>
      </c>
      <c r="H35" s="12">
        <v>803.11</v>
      </c>
      <c r="I35" s="12">
        <v>871.79</v>
      </c>
      <c r="J35" s="12">
        <v>40.549999999999997</v>
      </c>
      <c r="K35" s="12">
        <v>11.46</v>
      </c>
      <c r="L35" s="12">
        <v>0</v>
      </c>
      <c r="M35" s="12">
        <v>57.76</v>
      </c>
      <c r="N35" s="12">
        <v>2.97</v>
      </c>
      <c r="O35" s="12">
        <v>0.18</v>
      </c>
      <c r="P35" s="12">
        <v>2</v>
      </c>
      <c r="Q35" s="12">
        <v>3</v>
      </c>
      <c r="R35" s="14">
        <v>106</v>
      </c>
      <c r="S35" s="13" t="s">
        <v>161</v>
      </c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6.2" thickBot="1" x14ac:dyDescent="0.35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97" t="s">
        <v>169</v>
      </c>
      <c r="S37" s="16"/>
    </row>
    <row r="38" spans="1:27" s="6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98"/>
      <c r="S38" s="16"/>
    </row>
    <row r="39" spans="1:27" s="3" customFormat="1" x14ac:dyDescent="0.3">
      <c r="A39" s="8" t="s">
        <v>171</v>
      </c>
      <c r="B39" s="9">
        <f>AVERAGE(B4,B11,B18,B25,B32)</f>
        <v>113.05</v>
      </c>
      <c r="C39" s="9">
        <f>_xlfn.STDEV.S(B4,B11,B18,B25,B32)</f>
        <v>0.95700052246589995</v>
      </c>
      <c r="D39" s="9">
        <f>MIN(D4,D11,D18,D25,D32)</f>
        <v>102.8</v>
      </c>
      <c r="E39" s="9">
        <f>MAX(E4,E11,E18,E25,E32)</f>
        <v>134.30000000000001</v>
      </c>
      <c r="F39" s="9">
        <f t="shared" ref="F39:N39" si="0">AVERAGE(F4,F11,F18,F25,F32)</f>
        <v>108.354</v>
      </c>
      <c r="G39" s="9">
        <f>_xlfn.STDEV.S(F4,F11,F18,F25,F32)</f>
        <v>3.5225033711836211</v>
      </c>
      <c r="H39" s="9">
        <f>MIN(H4,H11,H18,H25,H32)</f>
        <v>90.12</v>
      </c>
      <c r="I39" s="9">
        <f>MAX(I4,I11,I18,I25,I32)</f>
        <v>136.59</v>
      </c>
      <c r="J39" s="9">
        <f t="shared" si="0"/>
        <v>38.144000000000005</v>
      </c>
      <c r="K39" s="9">
        <f>_xlfn.STDEV.S(J4,J11,J18,J25,J32)</f>
        <v>2.8997292977103921</v>
      </c>
      <c r="L39" s="9">
        <f>MIN(L4,L11,L18,L25,L32)</f>
        <v>17.649999999999999</v>
      </c>
      <c r="M39" s="9">
        <f>MAX(M4,M11,M18,M25,M32)</f>
        <v>60.99</v>
      </c>
      <c r="N39" s="9">
        <f t="shared" si="0"/>
        <v>59.972000000000001</v>
      </c>
      <c r="O39" s="9">
        <f>_xlfn.STDEV.S(N4,N11,N18,N25,N32)</f>
        <v>3.0331501776204854E-2</v>
      </c>
      <c r="P39" s="9">
        <f>MIN(P4,P11,P18,P25,P32)</f>
        <v>59</v>
      </c>
      <c r="Q39" s="9">
        <f>MAX(Q4,Q11,Q18,Q25,Q32)</f>
        <v>60</v>
      </c>
      <c r="R39" s="9">
        <f t="shared" ref="R39" si="1">AVERAGE(R4,R11,R18,R25,R32)</f>
        <v>53.4</v>
      </c>
    </row>
    <row r="40" spans="1:27" s="3" customFormat="1" x14ac:dyDescent="0.3">
      <c r="A40" s="8" t="s">
        <v>9</v>
      </c>
      <c r="B40" s="9">
        <f t="shared" ref="B40:N42" si="2">AVERAGE(B5,B12,B19,B26,B33)</f>
        <v>126.54400000000001</v>
      </c>
      <c r="C40" s="9">
        <f t="shared" ref="C40:C42" si="3">_xlfn.STDEV.S(B5,B12,B19,B26,B33)</f>
        <v>1.1474885620344992</v>
      </c>
      <c r="D40" s="9">
        <f t="shared" ref="D40:D42" si="4">MIN(D5,D12,D19,D26,D33)</f>
        <v>116.7</v>
      </c>
      <c r="E40" s="9">
        <f t="shared" ref="E40:E42" si="5">MAX(E5,E12,E19,E26,E33)</f>
        <v>153.1</v>
      </c>
      <c r="F40" s="9">
        <f t="shared" si="2"/>
        <v>132.07</v>
      </c>
      <c r="G40" s="9">
        <f t="shared" ref="G40:G42" si="6">_xlfn.STDEV.S(F5,F12,F19,F26,F33)</f>
        <v>1.6927492430953786</v>
      </c>
      <c r="H40" s="9">
        <f t="shared" ref="H40:H42" si="7">MIN(H5,H12,H19,H26,H33)</f>
        <v>113.65</v>
      </c>
      <c r="I40" s="9">
        <f t="shared" ref="I40:I42" si="8">MAX(I5,I12,I19,I26,I33)</f>
        <v>163.15</v>
      </c>
      <c r="J40" s="9">
        <f t="shared" si="2"/>
        <v>67.795999999999992</v>
      </c>
      <c r="K40" s="9">
        <f t="shared" ref="K40:K42" si="9">_xlfn.STDEV.S(J5,J12,J19,J26,J33)</f>
        <v>1.6476589452917734</v>
      </c>
      <c r="L40" s="9">
        <f t="shared" ref="L40:L42" si="10">MIN(L5,L12,L19,L26,L33)</f>
        <v>50.66</v>
      </c>
      <c r="M40" s="9">
        <f t="shared" ref="M40:M42" si="11">MAX(M5,M12,M19,M26,M33)</f>
        <v>98.97</v>
      </c>
      <c r="N40" s="9">
        <f t="shared" si="2"/>
        <v>59.955999999999996</v>
      </c>
      <c r="O40" s="9">
        <f t="shared" ref="O40:O42" si="12">_xlfn.STDEV.S(N5,N12,N19,N26,N33)</f>
        <v>1.5165750888103832E-2</v>
      </c>
      <c r="P40" s="9">
        <f t="shared" ref="P40:P42" si="13">MIN(P5,P12,P19,P26,P33)</f>
        <v>59</v>
      </c>
      <c r="Q40" s="9">
        <f t="shared" ref="Q40:Q42" si="14">MAX(Q5,Q12,Q19,Q26,Q33)</f>
        <v>60</v>
      </c>
      <c r="R40" s="9">
        <f t="shared" ref="R40:R42" si="15">AVERAGE(R5,R12,R19,R26,R33)</f>
        <v>72.2</v>
      </c>
    </row>
    <row r="41" spans="1:27" s="3" customFormat="1" x14ac:dyDescent="0.3">
      <c r="A41" s="8" t="s">
        <v>11</v>
      </c>
      <c r="B41" s="9">
        <f t="shared" si="2"/>
        <v>208.946</v>
      </c>
      <c r="C41" s="9">
        <f t="shared" si="3"/>
        <v>0.53523826470086666</v>
      </c>
      <c r="D41" s="9">
        <f t="shared" si="4"/>
        <v>186.4</v>
      </c>
      <c r="E41" s="9">
        <f t="shared" si="5"/>
        <v>443.6</v>
      </c>
      <c r="F41" s="9">
        <f t="shared" si="2"/>
        <v>200.36399999999998</v>
      </c>
      <c r="G41" s="9">
        <f t="shared" si="6"/>
        <v>5.5727757894966441</v>
      </c>
      <c r="H41" s="9">
        <f t="shared" si="7"/>
        <v>156.19999999999999</v>
      </c>
      <c r="I41" s="9">
        <f t="shared" si="8"/>
        <v>247.2</v>
      </c>
      <c r="J41" s="9">
        <f t="shared" si="2"/>
        <v>48.904000000000003</v>
      </c>
      <c r="K41" s="9">
        <f t="shared" si="9"/>
        <v>1.2437564070186728</v>
      </c>
      <c r="L41" s="9">
        <f t="shared" si="10"/>
        <v>8.3000000000000007</v>
      </c>
      <c r="M41" s="9">
        <f t="shared" si="11"/>
        <v>95.2</v>
      </c>
      <c r="N41" s="9">
        <f t="shared" si="2"/>
        <v>58.6</v>
      </c>
      <c r="O41" s="9">
        <f t="shared" si="12"/>
        <v>6.4420493633624398E-2</v>
      </c>
      <c r="P41" s="9">
        <f t="shared" si="13"/>
        <v>54</v>
      </c>
      <c r="Q41" s="9">
        <f t="shared" si="14"/>
        <v>60</v>
      </c>
      <c r="R41" s="9">
        <f t="shared" si="15"/>
        <v>104.6</v>
      </c>
    </row>
    <row r="42" spans="1:27" s="3" customFormat="1" ht="16.2" thickBot="1" x14ac:dyDescent="0.35">
      <c r="A42" s="11" t="s">
        <v>172</v>
      </c>
      <c r="B42" s="9">
        <f t="shared" si="2"/>
        <v>107.702</v>
      </c>
      <c r="C42" s="9">
        <f t="shared" si="3"/>
        <v>0.24813302883735983</v>
      </c>
      <c r="D42" s="9">
        <f t="shared" si="4"/>
        <v>92.3</v>
      </c>
      <c r="E42" s="9">
        <f t="shared" si="5"/>
        <v>136.19999999999999</v>
      </c>
      <c r="F42" s="9">
        <f t="shared" si="2"/>
        <v>853.53600000000006</v>
      </c>
      <c r="G42" s="9">
        <f t="shared" si="6"/>
        <v>3.3825330744872284</v>
      </c>
      <c r="H42" s="9">
        <f t="shared" si="7"/>
        <v>781.94</v>
      </c>
      <c r="I42" s="9">
        <f t="shared" si="8"/>
        <v>940.84</v>
      </c>
      <c r="J42" s="9">
        <f t="shared" si="2"/>
        <v>42.482000000000006</v>
      </c>
      <c r="K42" s="9">
        <f t="shared" si="9"/>
        <v>3.9839013542004302</v>
      </c>
      <c r="L42" s="9">
        <f t="shared" si="10"/>
        <v>0</v>
      </c>
      <c r="M42" s="9">
        <f t="shared" si="11"/>
        <v>129.38</v>
      </c>
      <c r="N42" s="9">
        <f t="shared" si="2"/>
        <v>2.9660000000000002</v>
      </c>
      <c r="O42" s="9">
        <f t="shared" si="12"/>
        <v>1.5165750888103159E-2</v>
      </c>
      <c r="P42" s="9">
        <f t="shared" si="13"/>
        <v>2</v>
      </c>
      <c r="Q42" s="9">
        <f t="shared" si="14"/>
        <v>3</v>
      </c>
      <c r="R42" s="9">
        <f t="shared" si="15"/>
        <v>106.6</v>
      </c>
    </row>
    <row r="44" spans="1:27" x14ac:dyDescent="0.3">
      <c r="A44" s="20"/>
    </row>
  </sheetData>
  <mergeCells count="36">
    <mergeCell ref="R37:R38"/>
    <mergeCell ref="N16:Q16"/>
    <mergeCell ref="A36:XFD36"/>
    <mergeCell ref="A30:A31"/>
    <mergeCell ref="B30:E30"/>
    <mergeCell ref="F30:I30"/>
    <mergeCell ref="J30:M30"/>
    <mergeCell ref="N30:Q30"/>
    <mergeCell ref="A15:XFD15"/>
    <mergeCell ref="A8:XFD8"/>
    <mergeCell ref="A9:A10"/>
    <mergeCell ref="B9:E9"/>
    <mergeCell ref="F9:I9"/>
    <mergeCell ref="J9:M9"/>
    <mergeCell ref="N9:Q9"/>
    <mergeCell ref="A2:A3"/>
    <mergeCell ref="B2:E2"/>
    <mergeCell ref="F2:I2"/>
    <mergeCell ref="J2:M2"/>
    <mergeCell ref="N2:Q2"/>
    <mergeCell ref="J16:M16"/>
    <mergeCell ref="F37:I37"/>
    <mergeCell ref="J37:M37"/>
    <mergeCell ref="A16:A17"/>
    <mergeCell ref="A37:A38"/>
    <mergeCell ref="B37:E37"/>
    <mergeCell ref="B16:E16"/>
    <mergeCell ref="F16:I16"/>
    <mergeCell ref="A29:XFD29"/>
    <mergeCell ref="A22:XFD22"/>
    <mergeCell ref="A23:A24"/>
    <mergeCell ref="B23:E23"/>
    <mergeCell ref="F23:I23"/>
    <mergeCell ref="J23:M23"/>
    <mergeCell ref="N23:Q23"/>
    <mergeCell ref="N37:Q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16" zoomScale="76" workbookViewId="0">
      <selection activeCell="A36" sqref="A36:XFD36"/>
    </sheetView>
  </sheetViews>
  <sheetFormatPr defaultRowHeight="15.6" x14ac:dyDescent="0.3"/>
  <cols>
    <col min="1" max="1" width="21" style="41" customWidth="1"/>
    <col min="2" max="17" width="8.88671875" style="42"/>
    <col min="18" max="18" width="8.88671875" style="2"/>
    <col min="19" max="16384" width="8.88671875" style="42"/>
  </cols>
  <sheetData>
    <row r="1" spans="1:27" s="36" customFormat="1" ht="16.2" thickBot="1" x14ac:dyDescent="0.35">
      <c r="A1" s="35"/>
      <c r="R1" s="37"/>
    </row>
    <row r="2" spans="1:27" s="39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8"/>
    </row>
    <row r="3" spans="1:27" s="9" customFormat="1" ht="15.6" customHeight="1" x14ac:dyDescent="0.3">
      <c r="A3" s="72"/>
      <c r="B3" s="7" t="s">
        <v>4</v>
      </c>
      <c r="C3" s="18" t="s">
        <v>5</v>
      </c>
      <c r="D3" s="18" t="s">
        <v>6</v>
      </c>
      <c r="E3" s="18" t="s">
        <v>7</v>
      </c>
      <c r="F3" s="7" t="s">
        <v>4</v>
      </c>
      <c r="G3" s="18" t="s">
        <v>5</v>
      </c>
      <c r="H3" s="18" t="s">
        <v>6</v>
      </c>
      <c r="I3" s="18" t="s">
        <v>7</v>
      </c>
      <c r="J3" s="7" t="s">
        <v>4</v>
      </c>
      <c r="K3" s="18" t="s">
        <v>5</v>
      </c>
      <c r="L3" s="18" t="s">
        <v>6</v>
      </c>
      <c r="M3" s="18" t="s">
        <v>7</v>
      </c>
      <c r="N3" s="7" t="s">
        <v>4</v>
      </c>
      <c r="O3" s="18" t="s">
        <v>5</v>
      </c>
      <c r="P3" s="18" t="s">
        <v>6</v>
      </c>
      <c r="Q3" s="18" t="s">
        <v>7</v>
      </c>
      <c r="R3" s="10"/>
    </row>
    <row r="4" spans="1:27" s="9" customFormat="1" x14ac:dyDescent="0.3">
      <c r="A4" s="64" t="s">
        <v>171</v>
      </c>
      <c r="B4" s="59">
        <v>122.77</v>
      </c>
      <c r="C4" s="59">
        <v>16.510000000000002</v>
      </c>
      <c r="D4" s="59">
        <v>71.7</v>
      </c>
      <c r="E4" s="59">
        <v>211.3</v>
      </c>
      <c r="F4" s="59">
        <v>162.25</v>
      </c>
      <c r="G4" s="59">
        <v>16.72</v>
      </c>
      <c r="H4" s="59">
        <v>136.32</v>
      </c>
      <c r="I4" s="59">
        <v>196.23</v>
      </c>
      <c r="J4" s="59">
        <v>16.09</v>
      </c>
      <c r="K4" s="59">
        <v>15.35</v>
      </c>
      <c r="L4" s="59">
        <v>0</v>
      </c>
      <c r="M4" s="59">
        <v>48.93</v>
      </c>
      <c r="N4" s="59">
        <v>59.96</v>
      </c>
      <c r="O4" s="59">
        <v>0.2</v>
      </c>
      <c r="P4" s="59">
        <v>59</v>
      </c>
      <c r="Q4" s="59">
        <v>60</v>
      </c>
      <c r="R4" s="10" t="s">
        <v>154</v>
      </c>
    </row>
    <row r="5" spans="1:27" s="9" customFormat="1" x14ac:dyDescent="0.3">
      <c r="A5" s="64" t="s">
        <v>9</v>
      </c>
      <c r="B5" s="19">
        <v>90.88</v>
      </c>
      <c r="C5" s="19">
        <v>16.86</v>
      </c>
      <c r="D5" s="19">
        <v>55.9</v>
      </c>
      <c r="E5" s="19">
        <v>138.69999999999999</v>
      </c>
      <c r="F5" s="19">
        <v>162.66</v>
      </c>
      <c r="G5" s="19">
        <v>14.3</v>
      </c>
      <c r="H5" s="19">
        <v>135.65</v>
      </c>
      <c r="I5" s="19">
        <v>193.53</v>
      </c>
      <c r="J5" s="19">
        <v>15.79</v>
      </c>
      <c r="K5" s="19">
        <v>12.76</v>
      </c>
      <c r="L5" s="19">
        <v>0</v>
      </c>
      <c r="M5" s="19">
        <v>45.59</v>
      </c>
      <c r="N5" s="19">
        <v>59.98</v>
      </c>
      <c r="O5" s="19">
        <v>0.14000000000000001</v>
      </c>
      <c r="P5" s="19">
        <v>59</v>
      </c>
      <c r="Q5" s="19">
        <v>60</v>
      </c>
      <c r="R5" s="10" t="s">
        <v>155</v>
      </c>
      <c r="S5" s="19"/>
      <c r="T5" s="19"/>
      <c r="U5" s="19"/>
      <c r="V5" s="19"/>
      <c r="W5" s="19"/>
      <c r="X5" s="19"/>
      <c r="Y5" s="19"/>
      <c r="Z5" s="19"/>
      <c r="AA5" s="19"/>
    </row>
    <row r="6" spans="1:27" s="9" customFormat="1" x14ac:dyDescent="0.3">
      <c r="A6" s="64" t="s">
        <v>11</v>
      </c>
      <c r="B6" s="59">
        <v>92.95</v>
      </c>
      <c r="C6" s="59">
        <v>26.37</v>
      </c>
      <c r="D6" s="59">
        <v>55.4</v>
      </c>
      <c r="E6" s="59">
        <v>251.6</v>
      </c>
      <c r="F6" s="59">
        <v>290.55</v>
      </c>
      <c r="G6" s="59">
        <v>15.03</v>
      </c>
      <c r="H6" s="59">
        <v>259.60000000000002</v>
      </c>
      <c r="I6" s="59">
        <v>324.39999999999998</v>
      </c>
      <c r="J6" s="59">
        <v>29.97</v>
      </c>
      <c r="K6" s="59">
        <v>14.98</v>
      </c>
      <c r="L6" s="59">
        <v>0</v>
      </c>
      <c r="M6" s="59">
        <v>63.8</v>
      </c>
      <c r="N6" s="59">
        <v>59.56</v>
      </c>
      <c r="O6" s="59">
        <v>0.61</v>
      </c>
      <c r="P6" s="59">
        <v>58</v>
      </c>
      <c r="Q6" s="59">
        <v>60</v>
      </c>
      <c r="R6" s="10" t="s">
        <v>101</v>
      </c>
    </row>
    <row r="7" spans="1:27" s="14" customFormat="1" ht="16.2" thickBot="1" x14ac:dyDescent="0.35">
      <c r="A7" s="40" t="s">
        <v>172</v>
      </c>
      <c r="B7" s="12">
        <v>121.32</v>
      </c>
      <c r="C7" s="12">
        <v>17.05</v>
      </c>
      <c r="D7" s="12">
        <v>78.8</v>
      </c>
      <c r="E7" s="12">
        <v>204.9</v>
      </c>
      <c r="F7" s="12">
        <v>182.43</v>
      </c>
      <c r="G7" s="12">
        <v>15.5</v>
      </c>
      <c r="H7" s="12">
        <v>151.75</v>
      </c>
      <c r="I7" s="12">
        <v>218.79</v>
      </c>
      <c r="J7" s="12">
        <v>13.09</v>
      </c>
      <c r="K7" s="12">
        <v>13.56</v>
      </c>
      <c r="L7" s="12">
        <v>0</v>
      </c>
      <c r="M7" s="12">
        <v>47.81</v>
      </c>
      <c r="N7" s="12">
        <v>59.87</v>
      </c>
      <c r="O7" s="12">
        <v>0.37</v>
      </c>
      <c r="P7" s="12">
        <v>58</v>
      </c>
      <c r="Q7" s="12">
        <v>60</v>
      </c>
      <c r="R7" s="13" t="s">
        <v>102</v>
      </c>
      <c r="S7" s="12"/>
      <c r="T7" s="12"/>
      <c r="U7" s="12"/>
      <c r="V7" s="12"/>
      <c r="W7" s="12"/>
      <c r="X7" s="12"/>
      <c r="Y7" s="12"/>
      <c r="Z7" s="12"/>
      <c r="AA7" s="12"/>
    </row>
    <row r="8" spans="1:27" s="94" customFormat="1" ht="16.2" thickBot="1" x14ac:dyDescent="0.35">
      <c r="A8" s="92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3"/>
    </row>
    <row r="9" spans="1:27" s="39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8"/>
    </row>
    <row r="10" spans="1:27" s="9" customFormat="1" x14ac:dyDescent="0.3">
      <c r="A10" s="72"/>
      <c r="B10" s="7" t="s">
        <v>4</v>
      </c>
      <c r="C10" s="18" t="s">
        <v>5</v>
      </c>
      <c r="D10" s="18" t="s">
        <v>6</v>
      </c>
      <c r="E10" s="18" t="s">
        <v>7</v>
      </c>
      <c r="F10" s="7" t="s">
        <v>4</v>
      </c>
      <c r="G10" s="18" t="s">
        <v>5</v>
      </c>
      <c r="H10" s="18" t="s">
        <v>6</v>
      </c>
      <c r="I10" s="18" t="s">
        <v>7</v>
      </c>
      <c r="J10" s="7" t="s">
        <v>4</v>
      </c>
      <c r="K10" s="18" t="s">
        <v>5</v>
      </c>
      <c r="L10" s="18" t="s">
        <v>6</v>
      </c>
      <c r="M10" s="18" t="s">
        <v>7</v>
      </c>
      <c r="N10" s="7" t="s">
        <v>4</v>
      </c>
      <c r="O10" s="18" t="s">
        <v>5</v>
      </c>
      <c r="P10" s="18" t="s">
        <v>6</v>
      </c>
      <c r="Q10" s="18" t="s">
        <v>7</v>
      </c>
      <c r="R10" s="10"/>
    </row>
    <row r="11" spans="1:27" s="9" customFormat="1" x14ac:dyDescent="0.3">
      <c r="A11" s="64" t="s">
        <v>171</v>
      </c>
      <c r="B11" s="59">
        <v>122.11</v>
      </c>
      <c r="C11" s="59">
        <v>15.74</v>
      </c>
      <c r="D11" s="59">
        <v>71.8</v>
      </c>
      <c r="E11" s="59">
        <v>218.4</v>
      </c>
      <c r="F11" s="61">
        <v>158.44</v>
      </c>
      <c r="G11" s="61">
        <v>12.82</v>
      </c>
      <c r="H11" s="61">
        <v>136.13</v>
      </c>
      <c r="I11" s="61">
        <v>185.4</v>
      </c>
      <c r="J11" s="61">
        <v>11.01</v>
      </c>
      <c r="K11" s="61">
        <v>10.86</v>
      </c>
      <c r="L11" s="61">
        <v>0</v>
      </c>
      <c r="M11" s="61">
        <v>36.369999999999997</v>
      </c>
      <c r="N11" s="61">
        <v>59.98</v>
      </c>
      <c r="O11" s="61">
        <v>0.14000000000000001</v>
      </c>
      <c r="P11" s="61">
        <v>59</v>
      </c>
      <c r="Q11" s="61">
        <v>60</v>
      </c>
      <c r="R11" s="10" t="s">
        <v>103</v>
      </c>
    </row>
    <row r="12" spans="1:27" s="9" customFormat="1" x14ac:dyDescent="0.3">
      <c r="A12" s="64" t="s">
        <v>9</v>
      </c>
      <c r="B12" s="9">
        <v>95.02</v>
      </c>
      <c r="C12" s="9">
        <v>26.53</v>
      </c>
      <c r="D12" s="9">
        <v>49.3</v>
      </c>
      <c r="E12" s="9">
        <v>190.4</v>
      </c>
      <c r="F12" s="61">
        <v>177.85</v>
      </c>
      <c r="G12" s="61">
        <v>14.46</v>
      </c>
      <c r="H12" s="61">
        <v>149.47</v>
      </c>
      <c r="I12" s="61">
        <v>206.35</v>
      </c>
      <c r="J12" s="61">
        <v>17.36</v>
      </c>
      <c r="K12" s="61">
        <v>13.14</v>
      </c>
      <c r="L12" s="61">
        <v>0</v>
      </c>
      <c r="M12" s="61">
        <v>44.99</v>
      </c>
      <c r="N12" s="61">
        <v>60</v>
      </c>
      <c r="O12" s="61">
        <v>0</v>
      </c>
      <c r="P12" s="61">
        <v>60</v>
      </c>
      <c r="Q12" s="61">
        <v>60</v>
      </c>
      <c r="R12" s="10" t="s">
        <v>104</v>
      </c>
    </row>
    <row r="13" spans="1:27" s="9" customFormat="1" x14ac:dyDescent="0.3">
      <c r="A13" s="64" t="s">
        <v>11</v>
      </c>
      <c r="B13" s="9">
        <v>89.74</v>
      </c>
      <c r="C13" s="9">
        <v>27.45</v>
      </c>
      <c r="D13" s="9">
        <v>34.4</v>
      </c>
      <c r="E13" s="9">
        <v>249.5</v>
      </c>
      <c r="F13" s="61">
        <v>284.14</v>
      </c>
      <c r="G13" s="61">
        <v>15.31</v>
      </c>
      <c r="H13" s="61">
        <v>250.7</v>
      </c>
      <c r="I13" s="61">
        <v>318.8</v>
      </c>
      <c r="J13" s="61">
        <v>27.4</v>
      </c>
      <c r="K13" s="61">
        <v>14.99</v>
      </c>
      <c r="L13" s="61">
        <v>0</v>
      </c>
      <c r="M13" s="61">
        <v>61.9</v>
      </c>
      <c r="N13" s="61">
        <v>59.66</v>
      </c>
      <c r="O13" s="61">
        <v>0.61</v>
      </c>
      <c r="P13" s="61">
        <v>58</v>
      </c>
      <c r="Q13" s="61">
        <v>60</v>
      </c>
      <c r="R13" s="10" t="s">
        <v>105</v>
      </c>
    </row>
    <row r="14" spans="1:27" s="14" customFormat="1" ht="16.2" thickBot="1" x14ac:dyDescent="0.35">
      <c r="A14" s="40" t="s">
        <v>172</v>
      </c>
      <c r="B14" s="12">
        <v>122.51</v>
      </c>
      <c r="C14" s="12">
        <v>16.649999999999999</v>
      </c>
      <c r="D14" s="12">
        <v>67.599999999999994</v>
      </c>
      <c r="E14" s="12">
        <v>204.4</v>
      </c>
      <c r="F14" s="12">
        <v>178.02</v>
      </c>
      <c r="G14" s="12">
        <v>11.94</v>
      </c>
      <c r="H14" s="12">
        <v>158.01</v>
      </c>
      <c r="I14" s="12">
        <v>202.23</v>
      </c>
      <c r="J14" s="12">
        <v>8.64</v>
      </c>
      <c r="K14" s="12">
        <v>9.11</v>
      </c>
      <c r="L14" s="12">
        <v>0</v>
      </c>
      <c r="M14" s="12">
        <v>30.44</v>
      </c>
      <c r="N14" s="12">
        <v>59.95</v>
      </c>
      <c r="O14" s="12">
        <v>0.22</v>
      </c>
      <c r="P14" s="12">
        <v>59</v>
      </c>
      <c r="Q14" s="12">
        <v>60</v>
      </c>
      <c r="R14" s="13" t="s">
        <v>106</v>
      </c>
      <c r="S14" s="12"/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6.2" thickBot="1" x14ac:dyDescent="0.35">
      <c r="A15" s="92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3"/>
    </row>
    <row r="16" spans="1:27" s="39" customFormat="1" ht="15.6" customHeight="1" x14ac:dyDescent="0.3">
      <c r="A16" s="71"/>
      <c r="B16" s="101" t="s">
        <v>0</v>
      </c>
      <c r="C16" s="102"/>
      <c r="D16" s="102"/>
      <c r="E16" s="103"/>
      <c r="F16" s="104" t="s">
        <v>1</v>
      </c>
      <c r="G16" s="105"/>
      <c r="H16" s="105"/>
      <c r="I16" s="106"/>
      <c r="J16" s="101" t="s">
        <v>2</v>
      </c>
      <c r="K16" s="102"/>
      <c r="L16" s="102"/>
      <c r="M16" s="103"/>
      <c r="N16" s="101" t="s">
        <v>3</v>
      </c>
      <c r="O16" s="102"/>
      <c r="P16" s="102"/>
      <c r="Q16" s="103"/>
      <c r="R16" s="38"/>
    </row>
    <row r="17" spans="1:27" s="9" customFormat="1" x14ac:dyDescent="0.3">
      <c r="A17" s="72"/>
      <c r="B17" s="55" t="s">
        <v>4</v>
      </c>
      <c r="C17" s="18" t="s">
        <v>5</v>
      </c>
      <c r="D17" s="18" t="s">
        <v>6</v>
      </c>
      <c r="E17" s="18" t="s">
        <v>7</v>
      </c>
      <c r="F17" s="55" t="s">
        <v>4</v>
      </c>
      <c r="G17" s="18" t="s">
        <v>5</v>
      </c>
      <c r="H17" s="18" t="s">
        <v>6</v>
      </c>
      <c r="I17" s="18" t="s">
        <v>7</v>
      </c>
      <c r="J17" s="55" t="s">
        <v>4</v>
      </c>
      <c r="K17" s="18" t="s">
        <v>5</v>
      </c>
      <c r="L17" s="18" t="s">
        <v>6</v>
      </c>
      <c r="M17" s="18" t="s">
        <v>7</v>
      </c>
      <c r="N17" s="55" t="s">
        <v>4</v>
      </c>
      <c r="O17" s="18" t="s">
        <v>5</v>
      </c>
      <c r="P17" s="18" t="s">
        <v>6</v>
      </c>
      <c r="Q17" s="18" t="s">
        <v>7</v>
      </c>
      <c r="R17" s="10"/>
    </row>
    <row r="18" spans="1:27" s="9" customFormat="1" x14ac:dyDescent="0.3">
      <c r="A18" s="64" t="s">
        <v>171</v>
      </c>
      <c r="B18" s="9">
        <v>120.84</v>
      </c>
      <c r="C18" s="9">
        <v>14.34</v>
      </c>
      <c r="D18" s="9">
        <v>71.2</v>
      </c>
      <c r="E18" s="9">
        <v>196.1</v>
      </c>
      <c r="F18" s="9">
        <v>160.02000000000001</v>
      </c>
      <c r="G18" s="9">
        <v>12.46</v>
      </c>
      <c r="H18" s="9">
        <v>137.27000000000001</v>
      </c>
      <c r="I18" s="9">
        <v>186.66</v>
      </c>
      <c r="J18" s="9">
        <v>12.42</v>
      </c>
      <c r="K18" s="9">
        <v>10.96</v>
      </c>
      <c r="L18" s="9">
        <v>0</v>
      </c>
      <c r="M18" s="9">
        <v>37.94</v>
      </c>
      <c r="N18" s="9">
        <v>59.99</v>
      </c>
      <c r="O18" s="9">
        <v>0.1</v>
      </c>
      <c r="P18" s="9">
        <v>59</v>
      </c>
      <c r="Q18" s="9">
        <v>60</v>
      </c>
      <c r="R18" s="10" t="s">
        <v>107</v>
      </c>
    </row>
    <row r="19" spans="1:27" s="9" customFormat="1" x14ac:dyDescent="0.3">
      <c r="A19" s="64" t="s">
        <v>9</v>
      </c>
      <c r="B19" s="19">
        <v>87.47</v>
      </c>
      <c r="C19" s="19">
        <v>18.760000000000002</v>
      </c>
      <c r="D19" s="19">
        <v>44.7</v>
      </c>
      <c r="E19" s="19">
        <v>145.6</v>
      </c>
      <c r="F19" s="19">
        <v>167.46</v>
      </c>
      <c r="G19" s="19">
        <v>15.2</v>
      </c>
      <c r="H19" s="19">
        <v>137.44999999999999</v>
      </c>
      <c r="I19" s="19">
        <v>198.54</v>
      </c>
      <c r="J19" s="19">
        <v>16.2</v>
      </c>
      <c r="K19" s="19">
        <v>13.28</v>
      </c>
      <c r="L19" s="19">
        <v>0</v>
      </c>
      <c r="M19" s="19">
        <v>45.97</v>
      </c>
      <c r="N19" s="19">
        <v>59.99</v>
      </c>
      <c r="O19" s="19">
        <v>0.1</v>
      </c>
      <c r="P19" s="19">
        <v>59</v>
      </c>
      <c r="Q19" s="19">
        <v>60</v>
      </c>
      <c r="R19" s="10" t="s">
        <v>108</v>
      </c>
      <c r="S19" s="19"/>
      <c r="T19" s="19"/>
      <c r="U19" s="19"/>
      <c r="V19" s="19"/>
      <c r="W19" s="19"/>
      <c r="X19" s="19"/>
      <c r="Y19" s="19"/>
      <c r="Z19" s="19"/>
      <c r="AA19" s="19"/>
    </row>
    <row r="20" spans="1:27" s="9" customFormat="1" x14ac:dyDescent="0.3">
      <c r="A20" s="64" t="s">
        <v>11</v>
      </c>
      <c r="B20" s="19">
        <v>89.05</v>
      </c>
      <c r="C20" s="19">
        <v>26.97</v>
      </c>
      <c r="D20" s="19">
        <v>45.6</v>
      </c>
      <c r="E20" s="19">
        <v>251.9</v>
      </c>
      <c r="F20" s="19">
        <v>294.35000000000002</v>
      </c>
      <c r="G20" s="19">
        <v>16.77</v>
      </c>
      <c r="H20" s="19">
        <v>264.7</v>
      </c>
      <c r="I20" s="19">
        <v>334.2</v>
      </c>
      <c r="J20" s="19">
        <v>24.1</v>
      </c>
      <c r="K20" s="19">
        <v>16.37</v>
      </c>
      <c r="L20" s="19">
        <v>0</v>
      </c>
      <c r="M20" s="19">
        <v>63.7</v>
      </c>
      <c r="N20" s="19">
        <v>59.5</v>
      </c>
      <c r="O20" s="19">
        <v>0.68</v>
      </c>
      <c r="P20" s="19">
        <v>57</v>
      </c>
      <c r="Q20" s="19">
        <v>60</v>
      </c>
      <c r="R20" s="10" t="s">
        <v>109</v>
      </c>
      <c r="S20" s="19"/>
      <c r="T20" s="19"/>
      <c r="U20" s="19"/>
      <c r="V20" s="19"/>
      <c r="W20" s="19"/>
      <c r="X20" s="19"/>
      <c r="Y20" s="19"/>
      <c r="Z20" s="19"/>
      <c r="AA20" s="19"/>
    </row>
    <row r="21" spans="1:27" s="14" customFormat="1" ht="16.2" thickBot="1" x14ac:dyDescent="0.35">
      <c r="A21" s="40" t="s">
        <v>172</v>
      </c>
      <c r="B21" s="12">
        <v>115.17</v>
      </c>
      <c r="C21" s="12">
        <v>19.010000000000002</v>
      </c>
      <c r="D21" s="12">
        <v>65.7</v>
      </c>
      <c r="E21" s="12">
        <v>189.5</v>
      </c>
      <c r="F21" s="12">
        <v>182.41</v>
      </c>
      <c r="G21" s="12">
        <v>13.51</v>
      </c>
      <c r="H21" s="12">
        <v>158.38</v>
      </c>
      <c r="I21" s="12">
        <v>212.97</v>
      </c>
      <c r="J21" s="12">
        <v>8.7799999999999994</v>
      </c>
      <c r="K21" s="12">
        <v>10.46</v>
      </c>
      <c r="L21" s="12">
        <v>0</v>
      </c>
      <c r="M21" s="12">
        <v>36.479999999999997</v>
      </c>
      <c r="N21" s="12">
        <v>59.89</v>
      </c>
      <c r="O21" s="12">
        <v>0.35</v>
      </c>
      <c r="P21" s="12">
        <v>58</v>
      </c>
      <c r="Q21" s="12">
        <v>60</v>
      </c>
      <c r="R21" s="13" t="s">
        <v>110</v>
      </c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94" customFormat="1" ht="16.2" thickBot="1" x14ac:dyDescent="0.35">
      <c r="A22" s="92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3"/>
    </row>
    <row r="23" spans="1:27" s="39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38"/>
    </row>
    <row r="24" spans="1:27" s="9" customFormat="1" x14ac:dyDescent="0.3">
      <c r="A24" s="82"/>
      <c r="B24" s="7" t="s">
        <v>4</v>
      </c>
      <c r="C24" s="18" t="s">
        <v>5</v>
      </c>
      <c r="D24" s="18" t="s">
        <v>6</v>
      </c>
      <c r="E24" s="18" t="s">
        <v>7</v>
      </c>
      <c r="F24" s="7" t="s">
        <v>4</v>
      </c>
      <c r="G24" s="18" t="s">
        <v>5</v>
      </c>
      <c r="H24" s="18" t="s">
        <v>6</v>
      </c>
      <c r="I24" s="18" t="s">
        <v>7</v>
      </c>
      <c r="J24" s="7" t="s">
        <v>4</v>
      </c>
      <c r="K24" s="18" t="s">
        <v>5</v>
      </c>
      <c r="L24" s="18" t="s">
        <v>6</v>
      </c>
      <c r="M24" s="18" t="s">
        <v>7</v>
      </c>
      <c r="N24" s="7" t="s">
        <v>4</v>
      </c>
      <c r="O24" s="18" t="s">
        <v>5</v>
      </c>
      <c r="P24" s="18" t="s">
        <v>6</v>
      </c>
      <c r="Q24" s="18" t="s">
        <v>7</v>
      </c>
      <c r="R24" s="10"/>
    </row>
    <row r="25" spans="1:27" s="9" customFormat="1" x14ac:dyDescent="0.3">
      <c r="A25" s="64" t="s">
        <v>171</v>
      </c>
      <c r="B25" s="19">
        <v>114.42</v>
      </c>
      <c r="C25" s="19">
        <v>13.32</v>
      </c>
      <c r="D25" s="19">
        <v>69.7</v>
      </c>
      <c r="E25" s="19">
        <v>161.80000000000001</v>
      </c>
      <c r="F25" s="19">
        <v>161.77000000000001</v>
      </c>
      <c r="G25" s="19">
        <v>15.22</v>
      </c>
      <c r="H25" s="19">
        <v>136.15</v>
      </c>
      <c r="I25" s="19">
        <v>190.66</v>
      </c>
      <c r="J25" s="19">
        <v>9.31</v>
      </c>
      <c r="K25" s="19">
        <v>10.85</v>
      </c>
      <c r="L25" s="19">
        <v>0</v>
      </c>
      <c r="M25" s="19">
        <v>34.07</v>
      </c>
      <c r="N25" s="19">
        <v>60</v>
      </c>
      <c r="O25" s="19">
        <v>0</v>
      </c>
      <c r="P25" s="19">
        <v>60</v>
      </c>
      <c r="Q25" s="19">
        <v>60</v>
      </c>
      <c r="R25" s="10" t="s">
        <v>111</v>
      </c>
      <c r="S25" s="19"/>
      <c r="T25" s="19"/>
      <c r="U25" s="19"/>
      <c r="V25" s="19"/>
      <c r="W25" s="19"/>
      <c r="X25" s="19"/>
      <c r="Y25" s="19"/>
      <c r="Z25" s="19"/>
      <c r="AA25" s="19"/>
    </row>
    <row r="26" spans="1:27" s="9" customFormat="1" x14ac:dyDescent="0.3">
      <c r="A26" s="64" t="s">
        <v>9</v>
      </c>
      <c r="B26" s="19">
        <v>90.56</v>
      </c>
      <c r="C26" s="19">
        <v>20.23</v>
      </c>
      <c r="D26" s="19">
        <v>42.2</v>
      </c>
      <c r="E26" s="19">
        <v>186.1</v>
      </c>
      <c r="F26" s="19">
        <v>170.13</v>
      </c>
      <c r="G26" s="19">
        <v>13.61</v>
      </c>
      <c r="H26" s="19">
        <v>137.69999999999999</v>
      </c>
      <c r="I26" s="19">
        <v>201.51</v>
      </c>
      <c r="J26" s="19">
        <v>13.36</v>
      </c>
      <c r="K26" s="19">
        <v>11.48</v>
      </c>
      <c r="L26" s="19">
        <v>0</v>
      </c>
      <c r="M26" s="19">
        <v>43.38</v>
      </c>
      <c r="N26" s="19">
        <v>59.99</v>
      </c>
      <c r="O26" s="19">
        <v>0.1</v>
      </c>
      <c r="P26" s="19">
        <v>59</v>
      </c>
      <c r="Q26" s="19">
        <v>60</v>
      </c>
      <c r="R26" s="10" t="s">
        <v>112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s="9" customFormat="1" x14ac:dyDescent="0.3">
      <c r="A27" s="64" t="s">
        <v>11</v>
      </c>
      <c r="B27" s="19">
        <v>90.57</v>
      </c>
      <c r="C27" s="19">
        <v>28.36</v>
      </c>
      <c r="D27" s="19">
        <v>47.4</v>
      </c>
      <c r="E27" s="19">
        <v>269.10000000000002</v>
      </c>
      <c r="F27" s="19">
        <v>297.73</v>
      </c>
      <c r="G27" s="19">
        <v>17.38</v>
      </c>
      <c r="H27" s="19">
        <v>263.3</v>
      </c>
      <c r="I27" s="19">
        <v>338</v>
      </c>
      <c r="J27" s="19">
        <v>25.34</v>
      </c>
      <c r="K27" s="19">
        <v>16.52</v>
      </c>
      <c r="L27" s="19">
        <v>0</v>
      </c>
      <c r="M27" s="19">
        <v>65.099999999999994</v>
      </c>
      <c r="N27" s="19">
        <v>59.51</v>
      </c>
      <c r="O27" s="19">
        <v>0.66</v>
      </c>
      <c r="P27" s="19">
        <v>58</v>
      </c>
      <c r="Q27" s="19">
        <v>60</v>
      </c>
      <c r="R27" s="10" t="s">
        <v>113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6.2" thickBot="1" x14ac:dyDescent="0.35">
      <c r="A28" s="40" t="s">
        <v>172</v>
      </c>
      <c r="B28" s="12">
        <v>110.5</v>
      </c>
      <c r="C28" s="12">
        <v>18.329999999999998</v>
      </c>
      <c r="D28" s="12">
        <v>68.400000000000006</v>
      </c>
      <c r="E28" s="12">
        <v>189.9</v>
      </c>
      <c r="F28" s="12">
        <v>177.43</v>
      </c>
      <c r="G28" s="12">
        <v>12.45</v>
      </c>
      <c r="H28" s="12">
        <v>157.09</v>
      </c>
      <c r="I28" s="12">
        <v>206.59</v>
      </c>
      <c r="J28" s="12">
        <v>9.36</v>
      </c>
      <c r="K28" s="12">
        <v>10.19</v>
      </c>
      <c r="L28" s="12">
        <v>0</v>
      </c>
      <c r="M28" s="12">
        <v>36.53</v>
      </c>
      <c r="N28" s="12">
        <v>59.94</v>
      </c>
      <c r="O28" s="12">
        <v>0.28000000000000003</v>
      </c>
      <c r="P28" s="12">
        <v>59</v>
      </c>
      <c r="Q28" s="12">
        <v>61</v>
      </c>
      <c r="R28" s="13" t="s">
        <v>114</v>
      </c>
      <c r="S28" s="12"/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6.2" thickBot="1" x14ac:dyDescent="0.3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3"/>
    </row>
    <row r="30" spans="1:27" s="39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8"/>
    </row>
    <row r="31" spans="1:27" s="9" customFormat="1" x14ac:dyDescent="0.3">
      <c r="A31" s="72"/>
      <c r="B31" s="7" t="s">
        <v>4</v>
      </c>
      <c r="C31" s="18" t="s">
        <v>5</v>
      </c>
      <c r="D31" s="18" t="s">
        <v>6</v>
      </c>
      <c r="E31" s="18" t="s">
        <v>7</v>
      </c>
      <c r="F31" s="7" t="s">
        <v>4</v>
      </c>
      <c r="G31" s="18" t="s">
        <v>5</v>
      </c>
      <c r="H31" s="18" t="s">
        <v>6</v>
      </c>
      <c r="I31" s="18" t="s">
        <v>7</v>
      </c>
      <c r="J31" s="7" t="s">
        <v>4</v>
      </c>
      <c r="K31" s="18" t="s">
        <v>5</v>
      </c>
      <c r="L31" s="18" t="s">
        <v>6</v>
      </c>
      <c r="M31" s="18" t="s">
        <v>7</v>
      </c>
      <c r="N31" s="7" t="s">
        <v>4</v>
      </c>
      <c r="O31" s="18" t="s">
        <v>5</v>
      </c>
      <c r="P31" s="18" t="s">
        <v>6</v>
      </c>
      <c r="Q31" s="18" t="s">
        <v>7</v>
      </c>
      <c r="R31" s="10"/>
    </row>
    <row r="32" spans="1:27" s="9" customFormat="1" x14ac:dyDescent="0.3">
      <c r="A32" s="64" t="s">
        <v>171</v>
      </c>
      <c r="B32" s="19">
        <v>117.4</v>
      </c>
      <c r="C32" s="19">
        <v>15.93</v>
      </c>
      <c r="D32" s="19">
        <v>55.9</v>
      </c>
      <c r="E32" s="19">
        <v>187.6</v>
      </c>
      <c r="F32" s="19">
        <v>163.29</v>
      </c>
      <c r="G32" s="19">
        <v>15.86</v>
      </c>
      <c r="H32" s="19">
        <v>136.65</v>
      </c>
      <c r="I32" s="19">
        <v>195.84</v>
      </c>
      <c r="J32" s="19">
        <v>14.59</v>
      </c>
      <c r="K32" s="19">
        <v>13.86</v>
      </c>
      <c r="L32" s="19">
        <v>0</v>
      </c>
      <c r="M32" s="19">
        <v>45.52</v>
      </c>
      <c r="N32" s="19">
        <v>60</v>
      </c>
      <c r="O32" s="19">
        <v>0</v>
      </c>
      <c r="P32" s="19">
        <v>60</v>
      </c>
      <c r="Q32" s="19">
        <v>60</v>
      </c>
      <c r="R32" s="10" t="s">
        <v>115</v>
      </c>
      <c r="S32" s="19"/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89.85</v>
      </c>
      <c r="C33" s="19">
        <v>19.05</v>
      </c>
      <c r="D33" s="19">
        <v>38.5</v>
      </c>
      <c r="E33" s="19">
        <v>142.80000000000001</v>
      </c>
      <c r="F33" s="19">
        <v>160.47999999999999</v>
      </c>
      <c r="G33" s="19">
        <v>14.25</v>
      </c>
      <c r="H33" s="19">
        <v>134.28</v>
      </c>
      <c r="I33" s="19">
        <v>192.31</v>
      </c>
      <c r="J33" s="19">
        <v>14.95</v>
      </c>
      <c r="K33" s="19">
        <v>12.64</v>
      </c>
      <c r="L33" s="19">
        <v>0</v>
      </c>
      <c r="M33" s="19">
        <v>45.64</v>
      </c>
      <c r="N33" s="19">
        <v>59.99</v>
      </c>
      <c r="O33" s="19">
        <v>0.1</v>
      </c>
      <c r="P33" s="19">
        <v>59</v>
      </c>
      <c r="Q33" s="19">
        <v>60</v>
      </c>
      <c r="R33" s="10" t="s">
        <v>156</v>
      </c>
      <c r="S33" s="19"/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91.04</v>
      </c>
      <c r="C34" s="19">
        <v>27.38</v>
      </c>
      <c r="D34" s="19">
        <v>49.2</v>
      </c>
      <c r="E34" s="19">
        <v>255.6</v>
      </c>
      <c r="F34" s="19">
        <v>283.94</v>
      </c>
      <c r="G34" s="19">
        <v>15.72</v>
      </c>
      <c r="H34" s="19">
        <v>248.9</v>
      </c>
      <c r="I34" s="19">
        <v>315.7</v>
      </c>
      <c r="J34" s="19">
        <v>27.37</v>
      </c>
      <c r="K34" s="19">
        <v>15.24</v>
      </c>
      <c r="L34" s="19">
        <v>0</v>
      </c>
      <c r="M34" s="19">
        <v>58.9</v>
      </c>
      <c r="N34" s="19">
        <v>59.51</v>
      </c>
      <c r="O34" s="19">
        <v>0.66</v>
      </c>
      <c r="P34" s="19">
        <v>57</v>
      </c>
      <c r="Q34" s="19">
        <v>60</v>
      </c>
      <c r="R34" s="10" t="s">
        <v>116</v>
      </c>
      <c r="S34" s="19"/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2">
        <v>118.79</v>
      </c>
      <c r="C35" s="12">
        <v>17.28</v>
      </c>
      <c r="D35" s="12">
        <v>81.900000000000006</v>
      </c>
      <c r="E35" s="12">
        <v>180.4</v>
      </c>
      <c r="F35" s="12">
        <v>186.57</v>
      </c>
      <c r="G35" s="12">
        <v>12.73</v>
      </c>
      <c r="H35" s="12">
        <v>163.97</v>
      </c>
      <c r="I35" s="12">
        <v>216.71</v>
      </c>
      <c r="J35" s="12">
        <v>7.7</v>
      </c>
      <c r="K35" s="12">
        <v>9.4</v>
      </c>
      <c r="L35" s="12">
        <v>0</v>
      </c>
      <c r="M35" s="12">
        <v>34.68</v>
      </c>
      <c r="N35" s="12">
        <v>59.94</v>
      </c>
      <c r="O35" s="12">
        <v>0.28000000000000003</v>
      </c>
      <c r="P35" s="12">
        <v>58</v>
      </c>
      <c r="Q35" s="12">
        <v>60</v>
      </c>
      <c r="R35" s="13" t="s">
        <v>157</v>
      </c>
      <c r="S35" s="12"/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5.6" customHeight="1" thickBot="1" x14ac:dyDescent="0.35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15"/>
      <c r="S37" s="16"/>
    </row>
    <row r="38" spans="1:27" s="6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17"/>
      <c r="S38" s="16"/>
    </row>
    <row r="39" spans="1:27" s="3" customFormat="1" x14ac:dyDescent="0.3">
      <c r="A39" s="8" t="s">
        <v>171</v>
      </c>
      <c r="B39" s="9">
        <f>AVERAGE(B4,B11,B18,B25,B32)</f>
        <v>119.50800000000001</v>
      </c>
      <c r="C39" s="9">
        <f>_xlfn.STDEV.S(B4,B11,B18,B25,B32)</f>
        <v>3.5184044679371338</v>
      </c>
      <c r="D39" s="9">
        <f>MIN(D4,D11,D18,D25,D32)</f>
        <v>55.9</v>
      </c>
      <c r="E39" s="9">
        <f>MAX(E4,E11,E18,E25,E32)</f>
        <v>218.4</v>
      </c>
      <c r="F39" s="9">
        <f t="shared" ref="F39:N39" si="0">AVERAGE(F4,F11,F18,F25,F32)</f>
        <v>161.154</v>
      </c>
      <c r="G39" s="9">
        <f>_xlfn.STDEV.S(F4,F11,F18,F25,F32)</f>
        <v>1.9232082570538198</v>
      </c>
      <c r="H39" s="9">
        <f>MIN(H4,H11,H18,H25,H32)</f>
        <v>136.13</v>
      </c>
      <c r="I39" s="9">
        <f>MAX(I4,I11,I18,I25,I32)</f>
        <v>196.23</v>
      </c>
      <c r="J39" s="9">
        <f t="shared" si="0"/>
        <v>12.684000000000001</v>
      </c>
      <c r="K39" s="9">
        <f>_xlfn.STDEV.S(J4,J11,J18,J25,J32)</f>
        <v>2.7152126988506797</v>
      </c>
      <c r="L39" s="9">
        <f>MIN(L4,L11,L18,L25,L32)</f>
        <v>0</v>
      </c>
      <c r="M39" s="9">
        <f>MAX(M4,M11,M18,M25,M32)</f>
        <v>48.93</v>
      </c>
      <c r="N39" s="9">
        <f t="shared" si="0"/>
        <v>59.986000000000004</v>
      </c>
      <c r="O39" s="9">
        <f>_xlfn.STDEV.S(N4,N11,N18,N25,N32)</f>
        <v>1.6733200530681579E-2</v>
      </c>
      <c r="P39" s="9">
        <f>MIN(P4,P11,P18,P25,P32)</f>
        <v>59</v>
      </c>
      <c r="Q39" s="9">
        <f>MAX(Q4,Q11,Q18,Q25,Q32)</f>
        <v>60</v>
      </c>
      <c r="R39" s="10"/>
    </row>
    <row r="40" spans="1:27" s="3" customFormat="1" x14ac:dyDescent="0.3">
      <c r="A40" s="8" t="s">
        <v>9</v>
      </c>
      <c r="B40" s="9">
        <f t="shared" ref="B40:N42" si="1">AVERAGE(B5,B12,B19,B26,B33)</f>
        <v>90.756</v>
      </c>
      <c r="C40" s="9">
        <f t="shared" ref="C40:C42" si="2">_xlfn.STDEV.S(B5,B12,B19,B26,B33)</f>
        <v>2.7319461927351343</v>
      </c>
      <c r="D40" s="9">
        <f t="shared" ref="D40:D42" si="3">MIN(D5,D12,D19,D26,D33)</f>
        <v>38.5</v>
      </c>
      <c r="E40" s="9">
        <f t="shared" ref="E40:E42" si="4">MAX(E5,E12,E19,E26,E33)</f>
        <v>190.4</v>
      </c>
      <c r="F40" s="9">
        <f t="shared" si="1"/>
        <v>167.71600000000001</v>
      </c>
      <c r="G40" s="9">
        <f t="shared" ref="G40:G42" si="5">_xlfn.STDEV.S(F5,F12,F19,F26,F33)</f>
        <v>6.8285012996996652</v>
      </c>
      <c r="H40" s="9">
        <f t="shared" ref="H40:H42" si="6">MIN(H5,H12,H19,H26,H33)</f>
        <v>134.28</v>
      </c>
      <c r="I40" s="9">
        <f t="shared" ref="I40:I42" si="7">MAX(I5,I12,I19,I26,I33)</f>
        <v>206.35</v>
      </c>
      <c r="J40" s="9">
        <f t="shared" si="1"/>
        <v>15.532</v>
      </c>
      <c r="K40" s="9">
        <f t="shared" ref="K40:K42" si="8">_xlfn.STDEV.S(J5,J12,J19,J26,J33)</f>
        <v>1.4925381067162071</v>
      </c>
      <c r="L40" s="9">
        <f t="shared" ref="L40:L42" si="9">MIN(L5,L12,L19,L26,L33)</f>
        <v>0</v>
      </c>
      <c r="M40" s="9">
        <f t="shared" ref="M40:M42" si="10">MAX(M5,M12,M19,M26,M33)</f>
        <v>45.97</v>
      </c>
      <c r="N40" s="9">
        <f t="shared" si="1"/>
        <v>59.989999999999995</v>
      </c>
      <c r="O40" s="9">
        <f t="shared" ref="O40:O42" si="11">_xlfn.STDEV.S(N5,N12,N19,N26,N33)</f>
        <v>7.0710678118665812E-3</v>
      </c>
      <c r="P40" s="9">
        <f t="shared" ref="P40:P42" si="12">MIN(P5,P12,P19,P26,P33)</f>
        <v>59</v>
      </c>
      <c r="Q40" s="9">
        <f t="shared" ref="Q40:Q42" si="13">MAX(Q5,Q12,Q19,Q26,Q33)</f>
        <v>60</v>
      </c>
      <c r="R40" s="10"/>
    </row>
    <row r="41" spans="1:27" s="3" customFormat="1" x14ac:dyDescent="0.3">
      <c r="A41" s="8" t="s">
        <v>11</v>
      </c>
      <c r="B41" s="9">
        <f t="shared" si="1"/>
        <v>90.67</v>
      </c>
      <c r="C41" s="9">
        <f t="shared" si="2"/>
        <v>1.4861527512338728</v>
      </c>
      <c r="D41" s="9">
        <f t="shared" si="3"/>
        <v>34.4</v>
      </c>
      <c r="E41" s="9">
        <f t="shared" si="4"/>
        <v>269.10000000000002</v>
      </c>
      <c r="F41" s="9">
        <f t="shared" si="1"/>
        <v>290.142</v>
      </c>
      <c r="G41" s="9">
        <f t="shared" si="5"/>
        <v>6.1225052062044147</v>
      </c>
      <c r="H41" s="9">
        <f t="shared" si="6"/>
        <v>248.9</v>
      </c>
      <c r="I41" s="9">
        <f t="shared" si="7"/>
        <v>338</v>
      </c>
      <c r="J41" s="9">
        <f t="shared" si="1"/>
        <v>26.836000000000002</v>
      </c>
      <c r="K41" s="9">
        <f t="shared" si="8"/>
        <v>2.2443774192412458</v>
      </c>
      <c r="L41" s="9">
        <f t="shared" si="9"/>
        <v>0</v>
      </c>
      <c r="M41" s="9">
        <f t="shared" si="10"/>
        <v>65.099999999999994</v>
      </c>
      <c r="N41" s="9">
        <f t="shared" si="1"/>
        <v>59.548000000000002</v>
      </c>
      <c r="O41" s="9">
        <f t="shared" si="11"/>
        <v>6.6858058601786355E-2</v>
      </c>
      <c r="P41" s="9">
        <f t="shared" si="12"/>
        <v>57</v>
      </c>
      <c r="Q41" s="9">
        <f t="shared" si="13"/>
        <v>60</v>
      </c>
      <c r="R41" s="10"/>
    </row>
    <row r="42" spans="1:27" s="3" customFormat="1" ht="16.2" thickBot="1" x14ac:dyDescent="0.35">
      <c r="A42" s="11" t="s">
        <v>172</v>
      </c>
      <c r="B42" s="9">
        <f t="shared" si="1"/>
        <v>117.65799999999999</v>
      </c>
      <c r="C42" s="9">
        <f t="shared" si="2"/>
        <v>4.8903138958557664</v>
      </c>
      <c r="D42" s="9">
        <f t="shared" si="3"/>
        <v>65.7</v>
      </c>
      <c r="E42" s="9">
        <f t="shared" si="4"/>
        <v>204.9</v>
      </c>
      <c r="F42" s="9">
        <f t="shared" si="1"/>
        <v>181.37199999999999</v>
      </c>
      <c r="G42" s="9">
        <f t="shared" si="5"/>
        <v>3.7413660606789008</v>
      </c>
      <c r="H42" s="9">
        <f t="shared" si="6"/>
        <v>151.75</v>
      </c>
      <c r="I42" s="9">
        <f t="shared" si="7"/>
        <v>218.79</v>
      </c>
      <c r="J42" s="9">
        <f t="shared" si="1"/>
        <v>9.5139999999999993</v>
      </c>
      <c r="K42" s="9">
        <f t="shared" si="8"/>
        <v>2.0859482256278556</v>
      </c>
      <c r="L42" s="9">
        <f t="shared" si="9"/>
        <v>0</v>
      </c>
      <c r="M42" s="9">
        <f t="shared" si="10"/>
        <v>47.81</v>
      </c>
      <c r="N42" s="9">
        <f t="shared" si="1"/>
        <v>59.917999999999992</v>
      </c>
      <c r="O42" s="9">
        <f t="shared" si="11"/>
        <v>3.5637059362411606E-2</v>
      </c>
      <c r="P42" s="9">
        <f t="shared" si="12"/>
        <v>58</v>
      </c>
      <c r="Q42" s="9">
        <f t="shared" si="13"/>
        <v>61</v>
      </c>
      <c r="R42" s="10"/>
    </row>
    <row r="44" spans="1:27" x14ac:dyDescent="0.3">
      <c r="A44" s="20"/>
    </row>
  </sheetData>
  <mergeCells count="35">
    <mergeCell ref="A37:A38"/>
    <mergeCell ref="B37:E37"/>
    <mergeCell ref="F37:I37"/>
    <mergeCell ref="J37:M37"/>
    <mergeCell ref="N37:Q37"/>
    <mergeCell ref="A8:XFD8"/>
    <mergeCell ref="A15:XFD15"/>
    <mergeCell ref="A22:XFD22"/>
    <mergeCell ref="A29:XFD29"/>
    <mergeCell ref="A36:XFD36"/>
    <mergeCell ref="A9:A10"/>
    <mergeCell ref="B9:E9"/>
    <mergeCell ref="F9:I9"/>
    <mergeCell ref="J9:M9"/>
    <mergeCell ref="N9:Q9"/>
    <mergeCell ref="A23:A24"/>
    <mergeCell ref="B23:E23"/>
    <mergeCell ref="F23:I23"/>
    <mergeCell ref="J23:M23"/>
    <mergeCell ref="N23:Q23"/>
    <mergeCell ref="A16:A17"/>
    <mergeCell ref="A2:A3"/>
    <mergeCell ref="B2:E2"/>
    <mergeCell ref="F2:I2"/>
    <mergeCell ref="J2:M2"/>
    <mergeCell ref="N2:Q2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2" workbookViewId="0">
      <selection activeCell="A36" sqref="A36:XFD36"/>
    </sheetView>
  </sheetViews>
  <sheetFormatPr defaultRowHeight="15.6" x14ac:dyDescent="0.3"/>
  <cols>
    <col min="1" max="1" width="21" style="41" customWidth="1"/>
    <col min="2" max="17" width="8.88671875" style="42"/>
    <col min="18" max="18" width="8.88671875" style="2"/>
    <col min="19" max="16384" width="8.88671875" style="42"/>
  </cols>
  <sheetData>
    <row r="1" spans="1:27" s="36" customFormat="1" ht="16.2" thickBot="1" x14ac:dyDescent="0.35">
      <c r="A1" s="35"/>
      <c r="R1" s="37"/>
    </row>
    <row r="2" spans="1:27" s="39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8"/>
    </row>
    <row r="3" spans="1:27" s="9" customFormat="1" ht="15.6" customHeight="1" x14ac:dyDescent="0.3">
      <c r="A3" s="72"/>
      <c r="B3" s="55" t="s">
        <v>4</v>
      </c>
      <c r="C3" s="18" t="s">
        <v>5</v>
      </c>
      <c r="D3" s="18" t="s">
        <v>6</v>
      </c>
      <c r="E3" s="18" t="s">
        <v>7</v>
      </c>
      <c r="F3" s="55" t="s">
        <v>4</v>
      </c>
      <c r="G3" s="18" t="s">
        <v>5</v>
      </c>
      <c r="H3" s="18" t="s">
        <v>6</v>
      </c>
      <c r="I3" s="18" t="s">
        <v>7</v>
      </c>
      <c r="J3" s="55" t="s">
        <v>4</v>
      </c>
      <c r="K3" s="18" t="s">
        <v>5</v>
      </c>
      <c r="L3" s="18" t="s">
        <v>6</v>
      </c>
      <c r="M3" s="18" t="s">
        <v>7</v>
      </c>
      <c r="N3" s="55" t="s">
        <v>4</v>
      </c>
      <c r="O3" s="18" t="s">
        <v>5</v>
      </c>
      <c r="P3" s="18" t="s">
        <v>6</v>
      </c>
      <c r="Q3" s="18" t="s">
        <v>7</v>
      </c>
      <c r="R3" s="10"/>
    </row>
    <row r="4" spans="1:27" s="9" customFormat="1" x14ac:dyDescent="0.3">
      <c r="A4" s="64" t="s">
        <v>171</v>
      </c>
      <c r="B4" s="59">
        <v>48.58</v>
      </c>
      <c r="C4" s="59">
        <v>11.32</v>
      </c>
      <c r="D4" s="59">
        <v>14.6</v>
      </c>
      <c r="E4" s="59">
        <v>136.4</v>
      </c>
      <c r="F4" s="59">
        <v>71.59</v>
      </c>
      <c r="G4" s="59">
        <v>3.13</v>
      </c>
      <c r="H4" s="59">
        <v>63.68</v>
      </c>
      <c r="I4" s="59">
        <v>80.25</v>
      </c>
      <c r="J4" s="59">
        <v>10.45</v>
      </c>
      <c r="K4" s="59">
        <v>3.13</v>
      </c>
      <c r="L4" s="59">
        <v>2.5499999999999998</v>
      </c>
      <c r="M4" s="59">
        <v>19.11</v>
      </c>
      <c r="N4" s="59">
        <v>59.8</v>
      </c>
      <c r="O4" s="59">
        <v>1.03</v>
      </c>
      <c r="P4" s="59">
        <v>50</v>
      </c>
      <c r="Q4" s="59">
        <v>60</v>
      </c>
      <c r="R4" s="10" t="s">
        <v>117</v>
      </c>
    </row>
    <row r="5" spans="1:27" s="9" customFormat="1" x14ac:dyDescent="0.3">
      <c r="A5" s="64" t="s">
        <v>9</v>
      </c>
      <c r="B5" s="61">
        <v>40.83</v>
      </c>
      <c r="C5" s="61">
        <v>9.09</v>
      </c>
      <c r="D5" s="61">
        <v>11.6</v>
      </c>
      <c r="E5" s="61">
        <v>96.9</v>
      </c>
      <c r="F5" s="61">
        <v>72.33</v>
      </c>
      <c r="G5" s="61">
        <v>2.84</v>
      </c>
      <c r="H5" s="61">
        <v>67.09</v>
      </c>
      <c r="I5" s="61">
        <v>78.66</v>
      </c>
      <c r="J5" s="61">
        <v>11.47</v>
      </c>
      <c r="K5" s="61">
        <v>2.84</v>
      </c>
      <c r="L5" s="61">
        <v>6.23</v>
      </c>
      <c r="M5" s="61">
        <v>17.8</v>
      </c>
      <c r="N5" s="9">
        <v>59.97</v>
      </c>
      <c r="O5" s="9">
        <v>0.28000000000000003</v>
      </c>
      <c r="P5" s="9">
        <v>57</v>
      </c>
      <c r="Q5" s="9">
        <v>60</v>
      </c>
      <c r="R5" s="10" t="s">
        <v>118</v>
      </c>
    </row>
    <row r="6" spans="1:27" s="9" customFormat="1" x14ac:dyDescent="0.3">
      <c r="A6" s="64" t="s">
        <v>11</v>
      </c>
      <c r="B6" s="9">
        <v>64.42</v>
      </c>
      <c r="C6" s="9">
        <v>11.07</v>
      </c>
      <c r="D6" s="9">
        <v>36.1</v>
      </c>
      <c r="E6" s="9">
        <v>133.1</v>
      </c>
      <c r="F6" s="61">
        <v>126.31</v>
      </c>
      <c r="G6" s="61">
        <v>1.27</v>
      </c>
      <c r="H6" s="61">
        <v>124.6</v>
      </c>
      <c r="I6" s="61">
        <v>129.6</v>
      </c>
      <c r="J6" s="61">
        <v>4.71</v>
      </c>
      <c r="K6" s="61">
        <v>1.27</v>
      </c>
      <c r="L6" s="61">
        <v>3</v>
      </c>
      <c r="M6" s="61">
        <v>8</v>
      </c>
      <c r="N6" s="61">
        <v>59.18</v>
      </c>
      <c r="O6" s="61">
        <v>1.61</v>
      </c>
      <c r="P6" s="61">
        <v>45</v>
      </c>
      <c r="Q6" s="61">
        <v>60</v>
      </c>
      <c r="R6" s="10" t="s">
        <v>119</v>
      </c>
    </row>
    <row r="7" spans="1:27" s="14" customFormat="1" ht="16.2" thickBot="1" x14ac:dyDescent="0.35">
      <c r="A7" s="40" t="s">
        <v>172</v>
      </c>
      <c r="B7" s="12">
        <v>81.67</v>
      </c>
      <c r="C7" s="12">
        <v>8.68</v>
      </c>
      <c r="D7" s="12">
        <v>36</v>
      </c>
      <c r="E7" s="12">
        <v>96.9</v>
      </c>
      <c r="F7" s="12">
        <v>113.2</v>
      </c>
      <c r="G7" s="12">
        <v>6.2</v>
      </c>
      <c r="H7" s="12">
        <v>99.91</v>
      </c>
      <c r="I7" s="12">
        <v>124.43</v>
      </c>
      <c r="J7" s="12">
        <v>32.97</v>
      </c>
      <c r="K7" s="12">
        <v>6.2</v>
      </c>
      <c r="L7" s="12">
        <v>19.670000000000002</v>
      </c>
      <c r="M7" s="12">
        <v>44.2</v>
      </c>
      <c r="N7" s="12">
        <v>57.91</v>
      </c>
      <c r="O7" s="12">
        <v>1.27</v>
      </c>
      <c r="P7" s="12">
        <v>54</v>
      </c>
      <c r="Q7" s="12">
        <v>60</v>
      </c>
      <c r="R7" s="13" t="s">
        <v>120</v>
      </c>
      <c r="S7" s="12"/>
      <c r="T7" s="12"/>
      <c r="U7" s="12"/>
      <c r="V7" s="12"/>
      <c r="W7" s="12"/>
      <c r="X7" s="12"/>
      <c r="Y7" s="12"/>
      <c r="Z7" s="12"/>
      <c r="AA7" s="12"/>
    </row>
    <row r="8" spans="1:27" s="94" customFormat="1" ht="16.2" thickBot="1" x14ac:dyDescent="0.35"/>
    <row r="9" spans="1:27" s="39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8"/>
    </row>
    <row r="10" spans="1:27" s="9" customFormat="1" x14ac:dyDescent="0.3">
      <c r="A10" s="72"/>
      <c r="B10" s="55" t="s">
        <v>4</v>
      </c>
      <c r="C10" s="18" t="s">
        <v>5</v>
      </c>
      <c r="D10" s="18" t="s">
        <v>6</v>
      </c>
      <c r="E10" s="18" t="s">
        <v>7</v>
      </c>
      <c r="F10" s="55" t="s">
        <v>4</v>
      </c>
      <c r="G10" s="18" t="s">
        <v>5</v>
      </c>
      <c r="H10" s="18" t="s">
        <v>6</v>
      </c>
      <c r="I10" s="18" t="s">
        <v>7</v>
      </c>
      <c r="J10" s="55" t="s">
        <v>4</v>
      </c>
      <c r="K10" s="18" t="s">
        <v>5</v>
      </c>
      <c r="L10" s="18" t="s">
        <v>6</v>
      </c>
      <c r="M10" s="18" t="s">
        <v>7</v>
      </c>
      <c r="N10" s="55" t="s">
        <v>4</v>
      </c>
      <c r="O10" s="18" t="s">
        <v>5</v>
      </c>
      <c r="P10" s="18" t="s">
        <v>6</v>
      </c>
      <c r="Q10" s="18" t="s">
        <v>7</v>
      </c>
      <c r="R10" s="10"/>
    </row>
    <row r="11" spans="1:27" s="9" customFormat="1" x14ac:dyDescent="0.3">
      <c r="A11" s="64" t="s">
        <v>171</v>
      </c>
      <c r="B11" s="9">
        <v>36.94</v>
      </c>
      <c r="C11" s="9">
        <v>9.48</v>
      </c>
      <c r="D11" s="9">
        <v>9.9</v>
      </c>
      <c r="E11" s="9">
        <v>106.6</v>
      </c>
      <c r="F11" s="61">
        <v>77.78</v>
      </c>
      <c r="G11" s="61">
        <v>2.91</v>
      </c>
      <c r="H11" s="61">
        <v>71.599999999999994</v>
      </c>
      <c r="I11" s="61">
        <v>83.86</v>
      </c>
      <c r="J11" s="61">
        <v>10.85</v>
      </c>
      <c r="K11" s="61">
        <v>2.91</v>
      </c>
      <c r="L11" s="61">
        <v>4.67</v>
      </c>
      <c r="M11" s="61">
        <v>16.93</v>
      </c>
      <c r="N11" s="61">
        <v>59.95</v>
      </c>
      <c r="O11" s="61">
        <v>0.38</v>
      </c>
      <c r="P11" s="61">
        <v>56</v>
      </c>
      <c r="Q11" s="61">
        <v>60</v>
      </c>
      <c r="R11" s="10" t="s">
        <v>121</v>
      </c>
    </row>
    <row r="12" spans="1:27" s="9" customFormat="1" x14ac:dyDescent="0.3">
      <c r="A12" s="64" t="s">
        <v>9</v>
      </c>
      <c r="B12" s="9">
        <v>41.27</v>
      </c>
      <c r="C12" s="9">
        <v>9.44</v>
      </c>
      <c r="D12" s="9">
        <v>14.7</v>
      </c>
      <c r="E12" s="9">
        <v>116</v>
      </c>
      <c r="F12" s="61">
        <v>74.040000000000006</v>
      </c>
      <c r="G12" s="61">
        <v>2.92</v>
      </c>
      <c r="H12" s="61">
        <v>67.72</v>
      </c>
      <c r="I12" s="61">
        <v>80.52</v>
      </c>
      <c r="J12" s="61">
        <v>9.8699999999999992</v>
      </c>
      <c r="K12" s="61">
        <v>2.92</v>
      </c>
      <c r="L12" s="61">
        <v>3.55</v>
      </c>
      <c r="M12" s="61">
        <v>16.34</v>
      </c>
      <c r="N12" s="61">
        <v>59.98</v>
      </c>
      <c r="O12" s="61">
        <v>0.2</v>
      </c>
      <c r="P12" s="61">
        <v>58</v>
      </c>
      <c r="Q12" s="61">
        <v>60</v>
      </c>
      <c r="R12" s="10" t="s">
        <v>122</v>
      </c>
    </row>
    <row r="13" spans="1:27" s="9" customFormat="1" x14ac:dyDescent="0.3">
      <c r="A13" s="64" t="s">
        <v>11</v>
      </c>
      <c r="B13" s="9">
        <v>68.12</v>
      </c>
      <c r="C13" s="9">
        <v>9.19</v>
      </c>
      <c r="D13" s="9">
        <v>32.700000000000003</v>
      </c>
      <c r="E13" s="9">
        <v>135</v>
      </c>
      <c r="F13" s="61">
        <v>123.74</v>
      </c>
      <c r="G13" s="61">
        <v>0.79</v>
      </c>
      <c r="H13" s="61">
        <v>122</v>
      </c>
      <c r="I13" s="61">
        <v>129.4</v>
      </c>
      <c r="J13" s="61">
        <v>6.84</v>
      </c>
      <c r="K13" s="61">
        <v>0.79</v>
      </c>
      <c r="L13" s="32">
        <v>5.0999999999999996</v>
      </c>
      <c r="M13" s="61">
        <v>12.5</v>
      </c>
      <c r="N13" s="61">
        <v>58.93</v>
      </c>
      <c r="O13" s="61">
        <v>2.83</v>
      </c>
      <c r="P13" s="61">
        <v>31</v>
      </c>
      <c r="Q13" s="61">
        <v>60</v>
      </c>
      <c r="R13" s="10" t="s">
        <v>123</v>
      </c>
    </row>
    <row r="14" spans="1:27" s="14" customFormat="1" ht="16.2" thickBot="1" x14ac:dyDescent="0.35">
      <c r="A14" s="40" t="s">
        <v>172</v>
      </c>
      <c r="B14" s="12">
        <v>78.41</v>
      </c>
      <c r="C14" s="12">
        <v>10.119999999999999</v>
      </c>
      <c r="D14" s="12">
        <v>38.200000000000003</v>
      </c>
      <c r="E14" s="12">
        <v>98.1</v>
      </c>
      <c r="F14" s="12">
        <v>110.44</v>
      </c>
      <c r="G14" s="12">
        <v>5.95</v>
      </c>
      <c r="H14" s="12">
        <v>97.05</v>
      </c>
      <c r="I14" s="12">
        <v>120.6</v>
      </c>
      <c r="J14" s="12">
        <v>28.77</v>
      </c>
      <c r="K14" s="12">
        <v>5.95</v>
      </c>
      <c r="L14" s="12">
        <v>15.38</v>
      </c>
      <c r="M14" s="12">
        <v>38.93</v>
      </c>
      <c r="N14" s="12">
        <v>57.74</v>
      </c>
      <c r="O14" s="12">
        <v>1.41</v>
      </c>
      <c r="P14" s="12">
        <v>54</v>
      </c>
      <c r="Q14" s="12">
        <v>60</v>
      </c>
      <c r="R14" s="13" t="s">
        <v>124</v>
      </c>
      <c r="S14" s="12"/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6.2" thickBot="1" x14ac:dyDescent="0.35"/>
    <row r="16" spans="1:27" s="39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38"/>
    </row>
    <row r="17" spans="1:27" s="9" customFormat="1" x14ac:dyDescent="0.3">
      <c r="A17" s="72"/>
      <c r="B17" s="55" t="s">
        <v>4</v>
      </c>
      <c r="C17" s="18" t="s">
        <v>5</v>
      </c>
      <c r="D17" s="18" t="s">
        <v>6</v>
      </c>
      <c r="E17" s="18" t="s">
        <v>7</v>
      </c>
      <c r="F17" s="55" t="s">
        <v>4</v>
      </c>
      <c r="G17" s="18" t="s">
        <v>5</v>
      </c>
      <c r="H17" s="18" t="s">
        <v>6</v>
      </c>
      <c r="I17" s="18" t="s">
        <v>7</v>
      </c>
      <c r="J17" s="55" t="s">
        <v>4</v>
      </c>
      <c r="K17" s="18" t="s">
        <v>5</v>
      </c>
      <c r="L17" s="18" t="s">
        <v>6</v>
      </c>
      <c r="M17" s="18" t="s">
        <v>7</v>
      </c>
      <c r="N17" s="55" t="s">
        <v>4</v>
      </c>
      <c r="O17" s="18" t="s">
        <v>5</v>
      </c>
      <c r="P17" s="18" t="s">
        <v>6</v>
      </c>
      <c r="Q17" s="18" t="s">
        <v>7</v>
      </c>
      <c r="R17" s="10"/>
    </row>
    <row r="18" spans="1:27" s="9" customFormat="1" x14ac:dyDescent="0.3">
      <c r="A18" s="64" t="s">
        <v>171</v>
      </c>
      <c r="B18" s="9">
        <v>42.43</v>
      </c>
      <c r="C18" s="9">
        <v>8.39</v>
      </c>
      <c r="D18" s="9">
        <v>17</v>
      </c>
      <c r="E18" s="9">
        <v>106.5</v>
      </c>
      <c r="F18" s="9">
        <v>74.44</v>
      </c>
      <c r="G18" s="9">
        <v>3.12</v>
      </c>
      <c r="H18" s="9">
        <v>67.709999999999994</v>
      </c>
      <c r="I18" s="9">
        <v>85.19</v>
      </c>
      <c r="J18" s="9">
        <v>11.83</v>
      </c>
      <c r="K18" s="9">
        <v>3.12</v>
      </c>
      <c r="L18" s="9">
        <v>5.0999999999999996</v>
      </c>
      <c r="M18" s="9">
        <v>22.58</v>
      </c>
      <c r="N18" s="9">
        <v>59.95</v>
      </c>
      <c r="O18" s="9">
        <v>0.33</v>
      </c>
      <c r="P18" s="9">
        <v>57</v>
      </c>
      <c r="Q18" s="9">
        <v>60</v>
      </c>
      <c r="R18" s="10" t="s">
        <v>125</v>
      </c>
    </row>
    <row r="19" spans="1:27" s="9" customFormat="1" x14ac:dyDescent="0.3">
      <c r="A19" s="64" t="s">
        <v>9</v>
      </c>
      <c r="B19" s="19">
        <v>41.65</v>
      </c>
      <c r="C19" s="19">
        <v>10.199999999999999</v>
      </c>
      <c r="D19" s="19">
        <v>11.3</v>
      </c>
      <c r="E19" s="19">
        <v>117.6</v>
      </c>
      <c r="F19" s="19">
        <v>75.08</v>
      </c>
      <c r="G19" s="19">
        <v>2.91</v>
      </c>
      <c r="H19" s="19">
        <v>68.42</v>
      </c>
      <c r="I19" s="19">
        <v>80.58</v>
      </c>
      <c r="J19" s="19">
        <v>10.23</v>
      </c>
      <c r="K19" s="19">
        <v>2.91</v>
      </c>
      <c r="L19" s="19">
        <v>3.56</v>
      </c>
      <c r="M19" s="19">
        <v>15.72</v>
      </c>
      <c r="N19" s="19">
        <v>59.96</v>
      </c>
      <c r="O19" s="19">
        <v>0.37</v>
      </c>
      <c r="P19" s="19">
        <v>56</v>
      </c>
      <c r="Q19" s="19">
        <v>60</v>
      </c>
      <c r="R19" s="10" t="s">
        <v>126</v>
      </c>
      <c r="S19" s="19"/>
      <c r="T19" s="19"/>
      <c r="U19" s="19"/>
      <c r="V19" s="19"/>
      <c r="W19" s="19"/>
      <c r="X19" s="19"/>
      <c r="Y19" s="19"/>
      <c r="Z19" s="19"/>
      <c r="AA19" s="19"/>
    </row>
    <row r="20" spans="1:27" s="9" customFormat="1" x14ac:dyDescent="0.3">
      <c r="A20" s="64" t="s">
        <v>11</v>
      </c>
      <c r="B20" s="19">
        <v>66.92</v>
      </c>
      <c r="C20" s="19">
        <v>8.26</v>
      </c>
      <c r="D20" s="19">
        <v>54</v>
      </c>
      <c r="E20" s="19">
        <v>130.5</v>
      </c>
      <c r="F20" s="19">
        <v>134.55000000000001</v>
      </c>
      <c r="G20" s="19">
        <v>0.94</v>
      </c>
      <c r="H20" s="19">
        <v>133.4</v>
      </c>
      <c r="I20" s="19">
        <v>138.69999999999999</v>
      </c>
      <c r="J20" s="19">
        <v>5.45</v>
      </c>
      <c r="K20" s="19">
        <v>0.94</v>
      </c>
      <c r="L20" s="19">
        <v>4.3</v>
      </c>
      <c r="M20" s="19">
        <v>9.6</v>
      </c>
      <c r="N20" s="19">
        <v>58.97</v>
      </c>
      <c r="O20" s="19">
        <v>2.5099999999999998</v>
      </c>
      <c r="P20" s="19">
        <v>33</v>
      </c>
      <c r="Q20" s="19">
        <v>60</v>
      </c>
      <c r="R20" s="10" t="s">
        <v>127</v>
      </c>
      <c r="S20" s="19"/>
      <c r="T20" s="19"/>
      <c r="U20" s="19"/>
      <c r="V20" s="19"/>
      <c r="W20" s="19"/>
      <c r="X20" s="19"/>
      <c r="Y20" s="19"/>
      <c r="Z20" s="19"/>
      <c r="AA20" s="19"/>
    </row>
    <row r="21" spans="1:27" s="14" customFormat="1" ht="16.2" thickBot="1" x14ac:dyDescent="0.35">
      <c r="A21" s="40" t="s">
        <v>172</v>
      </c>
      <c r="B21" s="12">
        <v>80.569999999999993</v>
      </c>
      <c r="C21" s="12">
        <v>11.41</v>
      </c>
      <c r="D21" s="12">
        <v>37.299999999999997</v>
      </c>
      <c r="E21" s="12">
        <v>97.7</v>
      </c>
      <c r="F21" s="12">
        <v>110.71</v>
      </c>
      <c r="G21" s="12">
        <v>5.92</v>
      </c>
      <c r="H21" s="12">
        <v>97.49</v>
      </c>
      <c r="I21" s="12">
        <v>122.05</v>
      </c>
      <c r="J21" s="12">
        <v>28.46</v>
      </c>
      <c r="K21" s="12">
        <v>5.92</v>
      </c>
      <c r="L21" s="12">
        <v>15.25</v>
      </c>
      <c r="M21" s="12">
        <v>39.81</v>
      </c>
      <c r="N21" s="12">
        <v>58.08</v>
      </c>
      <c r="O21" s="12">
        <v>1.29</v>
      </c>
      <c r="P21" s="12">
        <v>55</v>
      </c>
      <c r="Q21" s="12">
        <v>60</v>
      </c>
      <c r="R21" s="13" t="s">
        <v>128</v>
      </c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94" customFormat="1" ht="16.2" thickBot="1" x14ac:dyDescent="0.35"/>
    <row r="23" spans="1:27" s="39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38"/>
    </row>
    <row r="24" spans="1:27" s="9" customFormat="1" x14ac:dyDescent="0.3">
      <c r="A24" s="82"/>
      <c r="B24" s="55" t="s">
        <v>4</v>
      </c>
      <c r="C24" s="18" t="s">
        <v>5</v>
      </c>
      <c r="D24" s="18" t="s">
        <v>6</v>
      </c>
      <c r="E24" s="18" t="s">
        <v>7</v>
      </c>
      <c r="F24" s="55" t="s">
        <v>4</v>
      </c>
      <c r="G24" s="18" t="s">
        <v>5</v>
      </c>
      <c r="H24" s="18" t="s">
        <v>6</v>
      </c>
      <c r="I24" s="18" t="s">
        <v>7</v>
      </c>
      <c r="J24" s="55" t="s">
        <v>4</v>
      </c>
      <c r="K24" s="18" t="s">
        <v>5</v>
      </c>
      <c r="L24" s="18" t="s">
        <v>6</v>
      </c>
      <c r="M24" s="18" t="s">
        <v>7</v>
      </c>
      <c r="N24" s="55" t="s">
        <v>4</v>
      </c>
      <c r="O24" s="18" t="s">
        <v>5</v>
      </c>
      <c r="P24" s="18" t="s">
        <v>6</v>
      </c>
      <c r="Q24" s="18" t="s">
        <v>7</v>
      </c>
      <c r="R24" s="10"/>
    </row>
    <row r="25" spans="1:27" s="9" customFormat="1" x14ac:dyDescent="0.3">
      <c r="A25" s="64" t="s">
        <v>171</v>
      </c>
      <c r="B25" s="19">
        <v>39.880000000000003</v>
      </c>
      <c r="C25" s="19">
        <v>9.32</v>
      </c>
      <c r="D25" s="19">
        <v>9.1999999999999993</v>
      </c>
      <c r="E25" s="19">
        <v>99.2</v>
      </c>
      <c r="F25" s="19">
        <v>75.319999999999993</v>
      </c>
      <c r="G25" s="19">
        <v>2.97</v>
      </c>
      <c r="H25" s="19">
        <v>68.95</v>
      </c>
      <c r="I25" s="19">
        <v>82.39</v>
      </c>
      <c r="J25" s="19">
        <v>12.04</v>
      </c>
      <c r="K25" s="19">
        <v>2.97</v>
      </c>
      <c r="L25" s="19">
        <v>5.67</v>
      </c>
      <c r="M25" s="19">
        <v>19.11</v>
      </c>
      <c r="N25" s="19">
        <v>59.98</v>
      </c>
      <c r="O25" s="19">
        <v>0.13</v>
      </c>
      <c r="P25" s="19">
        <v>59</v>
      </c>
      <c r="Q25" s="19">
        <v>60</v>
      </c>
      <c r="R25" s="10" t="s">
        <v>129</v>
      </c>
      <c r="S25" s="19"/>
      <c r="T25" s="19"/>
      <c r="U25" s="19"/>
      <c r="V25" s="19"/>
      <c r="W25" s="19"/>
      <c r="X25" s="19"/>
      <c r="Y25" s="19"/>
      <c r="Z25" s="19"/>
      <c r="AA25" s="19"/>
    </row>
    <row r="26" spans="1:27" s="9" customFormat="1" x14ac:dyDescent="0.3">
      <c r="A26" s="64" t="s">
        <v>9</v>
      </c>
      <c r="B26" s="19">
        <v>42.56</v>
      </c>
      <c r="C26" s="19">
        <v>9.51</v>
      </c>
      <c r="D26" s="19">
        <v>12.2</v>
      </c>
      <c r="E26" s="19">
        <v>110.9</v>
      </c>
      <c r="F26" s="19">
        <v>72.900000000000006</v>
      </c>
      <c r="G26" s="19">
        <v>2.93</v>
      </c>
      <c r="H26" s="19">
        <v>66.599999999999994</v>
      </c>
      <c r="I26" s="19">
        <v>80.459999999999994</v>
      </c>
      <c r="J26" s="19">
        <v>11.25</v>
      </c>
      <c r="K26" s="19">
        <v>2.93</v>
      </c>
      <c r="L26" s="19">
        <v>4.95</v>
      </c>
      <c r="M26" s="19">
        <v>18.809999999999999</v>
      </c>
      <c r="N26" s="19">
        <v>59.96</v>
      </c>
      <c r="O26" s="19">
        <v>0.3</v>
      </c>
      <c r="P26" s="19">
        <v>57</v>
      </c>
      <c r="Q26" s="19">
        <v>60</v>
      </c>
      <c r="R26" s="10" t="s">
        <v>130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s="9" customFormat="1" x14ac:dyDescent="0.3">
      <c r="A27" s="64" t="s">
        <v>11</v>
      </c>
      <c r="B27" s="19">
        <v>64.680000000000007</v>
      </c>
      <c r="C27" s="19">
        <v>10.89</v>
      </c>
      <c r="D27" s="19">
        <v>28.6</v>
      </c>
      <c r="E27" s="19">
        <v>126.5</v>
      </c>
      <c r="F27" s="19">
        <v>135</v>
      </c>
      <c r="G27" s="19">
        <v>0.75</v>
      </c>
      <c r="H27" s="19">
        <v>133.69999999999999</v>
      </c>
      <c r="I27" s="19">
        <v>140.30000000000001</v>
      </c>
      <c r="J27" s="19">
        <v>5.3</v>
      </c>
      <c r="K27" s="19">
        <v>0.75</v>
      </c>
      <c r="L27" s="19">
        <v>4</v>
      </c>
      <c r="M27" s="19">
        <v>10.6</v>
      </c>
      <c r="N27" s="19">
        <v>59</v>
      </c>
      <c r="O27" s="19">
        <v>2.3199999999999998</v>
      </c>
      <c r="P27" s="19">
        <v>38</v>
      </c>
      <c r="Q27" s="19">
        <v>60</v>
      </c>
      <c r="R27" s="10" t="s">
        <v>131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6.2" thickBot="1" x14ac:dyDescent="0.35">
      <c r="A28" s="40" t="s">
        <v>172</v>
      </c>
      <c r="B28" s="12">
        <v>81.010000000000005</v>
      </c>
      <c r="C28" s="12">
        <v>9.91</v>
      </c>
      <c r="D28" s="12">
        <v>36.799999999999997</v>
      </c>
      <c r="E28" s="12">
        <v>97.1</v>
      </c>
      <c r="F28" s="12">
        <v>109.5</v>
      </c>
      <c r="G28" s="12">
        <v>6.1</v>
      </c>
      <c r="H28" s="12">
        <v>96.12</v>
      </c>
      <c r="I28" s="12">
        <v>119.75</v>
      </c>
      <c r="J28" s="12">
        <v>28.9</v>
      </c>
      <c r="K28" s="12">
        <v>6.1</v>
      </c>
      <c r="L28" s="12">
        <v>15.52</v>
      </c>
      <c r="M28" s="12">
        <v>39.14</v>
      </c>
      <c r="N28" s="12">
        <v>58.06</v>
      </c>
      <c r="O28" s="12">
        <v>1.22</v>
      </c>
      <c r="P28" s="12">
        <v>52</v>
      </c>
      <c r="Q28" s="12">
        <v>60</v>
      </c>
      <c r="R28" s="13" t="s">
        <v>132</v>
      </c>
      <c r="S28" s="12"/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6.2" thickBot="1" x14ac:dyDescent="0.35"/>
    <row r="30" spans="1:27" s="39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8"/>
    </row>
    <row r="31" spans="1:27" s="9" customFormat="1" x14ac:dyDescent="0.3">
      <c r="A31" s="72"/>
      <c r="B31" s="55" t="s">
        <v>4</v>
      </c>
      <c r="C31" s="18" t="s">
        <v>5</v>
      </c>
      <c r="D31" s="18" t="s">
        <v>6</v>
      </c>
      <c r="E31" s="18" t="s">
        <v>7</v>
      </c>
      <c r="F31" s="55" t="s">
        <v>4</v>
      </c>
      <c r="G31" s="18" t="s">
        <v>5</v>
      </c>
      <c r="H31" s="18" t="s">
        <v>6</v>
      </c>
      <c r="I31" s="18" t="s">
        <v>7</v>
      </c>
      <c r="J31" s="55" t="s">
        <v>4</v>
      </c>
      <c r="K31" s="18" t="s">
        <v>5</v>
      </c>
      <c r="L31" s="18" t="s">
        <v>6</v>
      </c>
      <c r="M31" s="18" t="s">
        <v>7</v>
      </c>
      <c r="N31" s="55" t="s">
        <v>4</v>
      </c>
      <c r="O31" s="18" t="s">
        <v>5</v>
      </c>
      <c r="P31" s="18" t="s">
        <v>6</v>
      </c>
      <c r="Q31" s="18" t="s">
        <v>7</v>
      </c>
      <c r="R31" s="10"/>
    </row>
    <row r="32" spans="1:27" s="9" customFormat="1" x14ac:dyDescent="0.3">
      <c r="A32" s="64" t="s">
        <v>171</v>
      </c>
      <c r="B32" s="19">
        <v>41.04</v>
      </c>
      <c r="C32" s="19">
        <v>9.17</v>
      </c>
      <c r="D32" s="19">
        <v>12</v>
      </c>
      <c r="E32" s="19">
        <v>107.8</v>
      </c>
      <c r="F32" s="19">
        <v>75.09</v>
      </c>
      <c r="G32" s="19">
        <v>2.74</v>
      </c>
      <c r="H32" s="19">
        <v>70.13</v>
      </c>
      <c r="I32" s="19">
        <v>80.52</v>
      </c>
      <c r="J32" s="19">
        <v>10.65</v>
      </c>
      <c r="K32" s="19">
        <v>2.74</v>
      </c>
      <c r="L32" s="19">
        <v>5.69</v>
      </c>
      <c r="M32" s="19">
        <v>16.079999999999998</v>
      </c>
      <c r="N32" s="19">
        <v>59.96</v>
      </c>
      <c r="O32" s="19">
        <v>0.3</v>
      </c>
      <c r="P32" s="19">
        <v>57</v>
      </c>
      <c r="Q32" s="19">
        <v>60</v>
      </c>
      <c r="R32" s="10" t="s">
        <v>133</v>
      </c>
      <c r="S32" s="19"/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40.83</v>
      </c>
      <c r="C33" s="19">
        <v>9.09</v>
      </c>
      <c r="D33" s="19">
        <v>11.6</v>
      </c>
      <c r="E33" s="19">
        <v>96.9</v>
      </c>
      <c r="F33" s="19">
        <v>72.33</v>
      </c>
      <c r="G33" s="19">
        <v>2.84</v>
      </c>
      <c r="H33" s="19">
        <v>67.09</v>
      </c>
      <c r="I33" s="19">
        <v>78.66</v>
      </c>
      <c r="J33" s="19">
        <v>11.47</v>
      </c>
      <c r="K33" s="19">
        <v>2.84</v>
      </c>
      <c r="L33" s="19">
        <v>6.23</v>
      </c>
      <c r="M33" s="19">
        <v>17.8</v>
      </c>
      <c r="N33" s="19">
        <v>59.97</v>
      </c>
      <c r="O33" s="19">
        <v>0.28000000000000003</v>
      </c>
      <c r="P33" s="19">
        <v>57</v>
      </c>
      <c r="Q33" s="19">
        <v>60</v>
      </c>
      <c r="R33" s="10" t="s">
        <v>118</v>
      </c>
      <c r="S33" s="19"/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67.86</v>
      </c>
      <c r="C34" s="19">
        <v>8.25</v>
      </c>
      <c r="D34" s="19">
        <v>53.6</v>
      </c>
      <c r="E34" s="19">
        <v>128.6</v>
      </c>
      <c r="F34" s="19">
        <v>125.44</v>
      </c>
      <c r="G34" s="19">
        <v>0.85</v>
      </c>
      <c r="H34" s="19">
        <v>124.1</v>
      </c>
      <c r="I34" s="19">
        <v>130.30000000000001</v>
      </c>
      <c r="J34" s="19">
        <v>7.84</v>
      </c>
      <c r="K34" s="19">
        <v>0.85</v>
      </c>
      <c r="L34" s="19">
        <v>6.5</v>
      </c>
      <c r="M34" s="19">
        <v>12.7</v>
      </c>
      <c r="N34" s="19">
        <v>58.99</v>
      </c>
      <c r="O34" s="19">
        <v>2.4300000000000002</v>
      </c>
      <c r="P34" s="19">
        <v>34</v>
      </c>
      <c r="Q34" s="19">
        <v>60</v>
      </c>
      <c r="R34" s="10" t="s">
        <v>134</v>
      </c>
      <c r="S34" s="19"/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2">
        <v>83.57</v>
      </c>
      <c r="C35" s="12">
        <v>7.72</v>
      </c>
      <c r="D35" s="12">
        <v>61.9</v>
      </c>
      <c r="E35" s="12">
        <v>101.2</v>
      </c>
      <c r="F35" s="12">
        <v>112.59</v>
      </c>
      <c r="G35" s="12">
        <v>6.31</v>
      </c>
      <c r="H35" s="12">
        <v>98.83</v>
      </c>
      <c r="I35" s="12">
        <v>124.55</v>
      </c>
      <c r="J35" s="12">
        <v>28.5</v>
      </c>
      <c r="K35" s="12">
        <v>6.31</v>
      </c>
      <c r="L35" s="12">
        <v>14.74</v>
      </c>
      <c r="M35" s="12">
        <v>40.46</v>
      </c>
      <c r="N35" s="12">
        <v>58.07</v>
      </c>
      <c r="O35" s="12">
        <v>1.1100000000000001</v>
      </c>
      <c r="P35" s="12">
        <v>55</v>
      </c>
      <c r="Q35" s="12">
        <v>60</v>
      </c>
      <c r="R35" s="13" t="s">
        <v>162</v>
      </c>
      <c r="S35" s="12"/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6.2" thickBot="1" x14ac:dyDescent="0.35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</row>
    <row r="37" spans="1:27" s="6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53"/>
      <c r="S37" s="16"/>
    </row>
    <row r="38" spans="1:27" s="6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53"/>
      <c r="S38" s="16"/>
    </row>
    <row r="39" spans="1:27" s="3" customFormat="1" x14ac:dyDescent="0.3">
      <c r="A39" s="8" t="s">
        <v>171</v>
      </c>
      <c r="B39" s="9">
        <f>AVERAGE(B4,B11,B18,B25,B32)</f>
        <v>41.773999999999994</v>
      </c>
      <c r="C39" s="9">
        <f>_xlfn.STDEV.S(B4,B11,B18,B25,B32)</f>
        <v>4.3082920049597373</v>
      </c>
      <c r="D39" s="9">
        <f>MIN(D4,D11,D18,D25,D32)</f>
        <v>9.1999999999999993</v>
      </c>
      <c r="E39" s="9">
        <f>MAX(E4,E11,E18,E25,E32)</f>
        <v>136.4</v>
      </c>
      <c r="F39" s="9">
        <f t="shared" ref="F39:N39" si="0">AVERAGE(F4,F11,F18,F25,F32)</f>
        <v>74.844000000000008</v>
      </c>
      <c r="G39" s="9">
        <f>_xlfn.STDEV.S(F4,F11,F18,F25,F32)</f>
        <v>2.2169190332531308</v>
      </c>
      <c r="H39" s="9">
        <f>MIN(H4,H11,H18,H25,H32)</f>
        <v>63.68</v>
      </c>
      <c r="I39" s="9">
        <f>MAX(I4,I11,I18,I25,I32)</f>
        <v>85.19</v>
      </c>
      <c r="J39" s="9">
        <f t="shared" si="0"/>
        <v>11.163999999999998</v>
      </c>
      <c r="K39" s="9">
        <f>_xlfn.STDEV.S(J4,J11,J18,J25,J32)</f>
        <v>0.721720167377911</v>
      </c>
      <c r="L39" s="9">
        <f>MIN(L4,L11,L18,L25,L32)</f>
        <v>2.5499999999999998</v>
      </c>
      <c r="M39" s="9">
        <f>MAX(M4,M11,M18,M25,M32)</f>
        <v>22.58</v>
      </c>
      <c r="N39" s="9">
        <f t="shared" si="0"/>
        <v>59.927999999999997</v>
      </c>
      <c r="O39" s="9">
        <f>_xlfn.STDEV.S(N4,N11,N18,N25,N32)</f>
        <v>7.2594765651527365E-2</v>
      </c>
      <c r="P39" s="9">
        <f>MIN(P4,P11,P18,P25,P32)</f>
        <v>50</v>
      </c>
      <c r="Q39" s="9">
        <f>MAX(Q4,Q11,Q18,Q25,Q32)</f>
        <v>60</v>
      </c>
      <c r="R39" s="54"/>
      <c r="S39" s="51"/>
    </row>
    <row r="40" spans="1:27" s="3" customFormat="1" x14ac:dyDescent="0.3">
      <c r="A40" s="8" t="s">
        <v>9</v>
      </c>
      <c r="B40" s="9">
        <f t="shared" ref="B40:N42" si="1">AVERAGE(B5,B12,B19,B26,B33)</f>
        <v>41.427999999999997</v>
      </c>
      <c r="C40" s="9">
        <f t="shared" ref="C40:C42" si="2">_xlfn.STDEV.S(B5,B12,B19,B26,B33)</f>
        <v>0.71952762281930627</v>
      </c>
      <c r="D40" s="9">
        <f t="shared" ref="D40:D42" si="3">MIN(D5,D12,D19,D26,D33)</f>
        <v>11.3</v>
      </c>
      <c r="E40" s="9">
        <f t="shared" ref="E40:E42" si="4">MAX(E5,E12,E19,E26,E33)</f>
        <v>117.6</v>
      </c>
      <c r="F40" s="9">
        <f t="shared" si="1"/>
        <v>73.335999999999999</v>
      </c>
      <c r="G40" s="9">
        <f t="shared" ref="G40:G42" si="5">_xlfn.STDEV.S(F5,F12,F19,F26,F33)</f>
        <v>1.199095492444201</v>
      </c>
      <c r="H40" s="9">
        <f t="shared" ref="H40:H42" si="6">MIN(H5,H12,H19,H26,H33)</f>
        <v>66.599999999999994</v>
      </c>
      <c r="I40" s="9">
        <f t="shared" ref="I40:I42" si="7">MAX(I5,I12,I19,I26,I33)</f>
        <v>80.58</v>
      </c>
      <c r="J40" s="9">
        <f t="shared" si="1"/>
        <v>10.858000000000001</v>
      </c>
      <c r="K40" s="9">
        <f t="shared" ref="K40:K42" si="8">_xlfn.STDEV.S(J5,J12,J19,J26,J33)</f>
        <v>0.75387001532094422</v>
      </c>
      <c r="L40" s="9">
        <f t="shared" ref="L40:L42" si="9">MIN(L5,L12,L19,L26,L33)</f>
        <v>3.55</v>
      </c>
      <c r="M40" s="9">
        <f t="shared" ref="M40:M42" si="10">MAX(M5,M12,M19,M26,M33)</f>
        <v>18.809999999999999</v>
      </c>
      <c r="N40" s="9">
        <f t="shared" si="1"/>
        <v>59.968000000000004</v>
      </c>
      <c r="O40" s="9">
        <f t="shared" ref="O40:O42" si="11">_xlfn.STDEV.S(N5,N12,N19,N26,N33)</f>
        <v>8.3666002653390911E-3</v>
      </c>
      <c r="P40" s="9">
        <f t="shared" ref="P40:P42" si="12">MIN(P5,P12,P19,P26,P33)</f>
        <v>56</v>
      </c>
      <c r="Q40" s="9">
        <f t="shared" ref="Q40:Q42" si="13">MAX(Q5,Q12,Q19,Q26,Q33)</f>
        <v>60</v>
      </c>
      <c r="R40" s="54"/>
      <c r="S40" s="51"/>
    </row>
    <row r="41" spans="1:27" s="3" customFormat="1" x14ac:dyDescent="0.3">
      <c r="A41" s="8" t="s">
        <v>11</v>
      </c>
      <c r="B41" s="9">
        <f t="shared" si="1"/>
        <v>66.400000000000006</v>
      </c>
      <c r="C41" s="9">
        <f t="shared" si="2"/>
        <v>1.749228401324423</v>
      </c>
      <c r="D41" s="9">
        <f t="shared" si="3"/>
        <v>28.6</v>
      </c>
      <c r="E41" s="9">
        <f t="shared" si="4"/>
        <v>135</v>
      </c>
      <c r="F41" s="9">
        <f t="shared" si="1"/>
        <v>129.00799999999998</v>
      </c>
      <c r="G41" s="9">
        <f t="shared" si="5"/>
        <v>5.3474171335327902</v>
      </c>
      <c r="H41" s="9">
        <f t="shared" si="6"/>
        <v>122</v>
      </c>
      <c r="I41" s="9">
        <f t="shared" si="7"/>
        <v>140.30000000000001</v>
      </c>
      <c r="J41" s="9">
        <f t="shared" si="1"/>
        <v>6.0280000000000005</v>
      </c>
      <c r="K41" s="9">
        <f t="shared" si="8"/>
        <v>1.2790504290292859</v>
      </c>
      <c r="L41" s="9">
        <f t="shared" si="9"/>
        <v>3</v>
      </c>
      <c r="M41" s="9">
        <f t="shared" si="10"/>
        <v>12.7</v>
      </c>
      <c r="N41" s="9">
        <f t="shared" si="1"/>
        <v>59.013999999999996</v>
      </c>
      <c r="O41" s="9">
        <f t="shared" si="11"/>
        <v>9.6591925128345954E-2</v>
      </c>
      <c r="P41" s="9">
        <f t="shared" si="12"/>
        <v>31</v>
      </c>
      <c r="Q41" s="9">
        <f t="shared" si="13"/>
        <v>60</v>
      </c>
      <c r="R41" s="54"/>
      <c r="S41" s="51"/>
    </row>
    <row r="42" spans="1:27" s="3" customFormat="1" ht="16.2" thickBot="1" x14ac:dyDescent="0.35">
      <c r="A42" s="11" t="s">
        <v>172</v>
      </c>
      <c r="B42" s="9">
        <f t="shared" si="1"/>
        <v>81.045999999999992</v>
      </c>
      <c r="C42" s="9">
        <f t="shared" si="2"/>
        <v>1.8665690450663748</v>
      </c>
      <c r="D42" s="9">
        <f t="shared" si="3"/>
        <v>36</v>
      </c>
      <c r="E42" s="9">
        <f t="shared" si="4"/>
        <v>101.2</v>
      </c>
      <c r="F42" s="9">
        <f t="shared" si="1"/>
        <v>111.28799999999998</v>
      </c>
      <c r="G42" s="9">
        <f t="shared" si="5"/>
        <v>1.5492804781575245</v>
      </c>
      <c r="H42" s="9">
        <f t="shared" si="6"/>
        <v>96.12</v>
      </c>
      <c r="I42" s="9">
        <f t="shared" si="7"/>
        <v>124.55</v>
      </c>
      <c r="J42" s="9">
        <f t="shared" si="1"/>
        <v>29.52</v>
      </c>
      <c r="K42" s="9">
        <f t="shared" si="8"/>
        <v>1.9373564462947954</v>
      </c>
      <c r="L42" s="9">
        <f t="shared" si="9"/>
        <v>14.74</v>
      </c>
      <c r="M42" s="9">
        <f t="shared" si="10"/>
        <v>44.2</v>
      </c>
      <c r="N42" s="9">
        <f t="shared" si="1"/>
        <v>57.972000000000001</v>
      </c>
      <c r="O42" s="9">
        <f t="shared" si="11"/>
        <v>0.14720733677368086</v>
      </c>
      <c r="P42" s="9">
        <f t="shared" si="12"/>
        <v>52</v>
      </c>
      <c r="Q42" s="9">
        <f t="shared" si="13"/>
        <v>60</v>
      </c>
      <c r="R42" s="54"/>
      <c r="S42" s="51"/>
    </row>
    <row r="43" spans="1:27" x14ac:dyDescent="0.3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2"/>
    </row>
    <row r="44" spans="1:27" x14ac:dyDescent="0.3">
      <c r="A44" s="20"/>
    </row>
  </sheetData>
  <mergeCells count="35">
    <mergeCell ref="A37:A38"/>
    <mergeCell ref="B37:E37"/>
    <mergeCell ref="F37:I37"/>
    <mergeCell ref="J37:M37"/>
    <mergeCell ref="N37:Q37"/>
    <mergeCell ref="A36:XFD36"/>
    <mergeCell ref="A29:XFD29"/>
    <mergeCell ref="A22:XFD22"/>
    <mergeCell ref="A15:XFD15"/>
    <mergeCell ref="A8:XFD8"/>
    <mergeCell ref="A9:A10"/>
    <mergeCell ref="B9:E9"/>
    <mergeCell ref="F9:I9"/>
    <mergeCell ref="J9:M9"/>
    <mergeCell ref="N9:Q9"/>
    <mergeCell ref="A23:A24"/>
    <mergeCell ref="B23:E23"/>
    <mergeCell ref="F23:I23"/>
    <mergeCell ref="J23:M23"/>
    <mergeCell ref="N23:Q23"/>
    <mergeCell ref="A16:A17"/>
    <mergeCell ref="A2:A3"/>
    <mergeCell ref="B2:E2"/>
    <mergeCell ref="F2:I2"/>
    <mergeCell ref="J2:M2"/>
    <mergeCell ref="N2:Q2"/>
    <mergeCell ref="B16:E16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Views>
    <sheetView topLeftCell="A28" workbookViewId="0">
      <selection activeCell="A36" sqref="A36:XFD36"/>
    </sheetView>
  </sheetViews>
  <sheetFormatPr defaultRowHeight="15.6" x14ac:dyDescent="0.3"/>
  <cols>
    <col min="1" max="1" width="21" style="41" customWidth="1"/>
    <col min="2" max="17" width="8.88671875" style="42"/>
    <col min="18" max="18" width="8.88671875" style="2"/>
    <col min="19" max="16384" width="8.88671875" style="42"/>
  </cols>
  <sheetData>
    <row r="1" spans="1:27" s="36" customFormat="1" ht="16.2" thickBot="1" x14ac:dyDescent="0.35">
      <c r="A1" s="35"/>
      <c r="R1" s="37"/>
    </row>
    <row r="2" spans="1:27" s="39" customFormat="1" x14ac:dyDescent="0.3">
      <c r="A2" s="71"/>
      <c r="B2" s="65" t="s">
        <v>0</v>
      </c>
      <c r="C2" s="65"/>
      <c r="D2" s="65"/>
      <c r="E2" s="65"/>
      <c r="F2" s="66" t="s">
        <v>1</v>
      </c>
      <c r="G2" s="66"/>
      <c r="H2" s="66"/>
      <c r="I2" s="66"/>
      <c r="J2" s="65" t="s">
        <v>2</v>
      </c>
      <c r="K2" s="65"/>
      <c r="L2" s="65"/>
      <c r="M2" s="65"/>
      <c r="N2" s="65" t="s">
        <v>3</v>
      </c>
      <c r="O2" s="65"/>
      <c r="P2" s="65"/>
      <c r="Q2" s="65"/>
      <c r="R2" s="38"/>
    </row>
    <row r="3" spans="1:27" s="9" customFormat="1" ht="15.6" customHeight="1" x14ac:dyDescent="0.3">
      <c r="A3" s="72"/>
      <c r="B3" s="7" t="s">
        <v>4</v>
      </c>
      <c r="C3" s="18" t="s">
        <v>5</v>
      </c>
      <c r="D3" s="18" t="s">
        <v>6</v>
      </c>
      <c r="E3" s="18" t="s">
        <v>7</v>
      </c>
      <c r="F3" s="7" t="s">
        <v>4</v>
      </c>
      <c r="G3" s="18" t="s">
        <v>5</v>
      </c>
      <c r="H3" s="18" t="s">
        <v>6</v>
      </c>
      <c r="I3" s="18" t="s">
        <v>7</v>
      </c>
      <c r="J3" s="7" t="s">
        <v>4</v>
      </c>
      <c r="K3" s="18" t="s">
        <v>5</v>
      </c>
      <c r="L3" s="18" t="s">
        <v>6</v>
      </c>
      <c r="M3" s="18" t="s">
        <v>7</v>
      </c>
      <c r="N3" s="7" t="s">
        <v>4</v>
      </c>
      <c r="O3" s="18" t="s">
        <v>5</v>
      </c>
      <c r="P3" s="18" t="s">
        <v>6</v>
      </c>
      <c r="Q3" s="18" t="s">
        <v>7</v>
      </c>
      <c r="R3" s="10"/>
    </row>
    <row r="4" spans="1:27" s="9" customFormat="1" x14ac:dyDescent="0.3">
      <c r="A4" s="64" t="s">
        <v>171</v>
      </c>
      <c r="B4" s="59">
        <v>85.16</v>
      </c>
      <c r="C4" s="59">
        <v>12.67</v>
      </c>
      <c r="D4" s="59">
        <v>45.7</v>
      </c>
      <c r="E4" s="59">
        <v>106.6</v>
      </c>
      <c r="F4" s="59">
        <v>62</v>
      </c>
      <c r="G4" s="59">
        <v>1.87</v>
      </c>
      <c r="H4" s="59">
        <v>58.52</v>
      </c>
      <c r="I4" s="59">
        <v>65.86</v>
      </c>
      <c r="J4" s="59">
        <v>2.65</v>
      </c>
      <c r="K4" s="59">
        <v>1.82</v>
      </c>
      <c r="L4" s="59">
        <v>0</v>
      </c>
      <c r="M4" s="59">
        <v>6.48</v>
      </c>
      <c r="N4" s="59">
        <v>59.93</v>
      </c>
      <c r="O4" s="59">
        <v>0.32</v>
      </c>
      <c r="P4" s="59">
        <v>58</v>
      </c>
      <c r="Q4" s="59">
        <v>60</v>
      </c>
      <c r="R4" s="10" t="s">
        <v>135</v>
      </c>
    </row>
    <row r="5" spans="1:27" s="9" customFormat="1" x14ac:dyDescent="0.3">
      <c r="A5" s="64" t="s">
        <v>9</v>
      </c>
      <c r="B5" s="61">
        <v>80.849999999999994</v>
      </c>
      <c r="C5" s="61">
        <v>4.8</v>
      </c>
      <c r="D5" s="61">
        <v>70.5</v>
      </c>
      <c r="E5" s="61">
        <v>90</v>
      </c>
      <c r="F5" s="61">
        <v>65.69</v>
      </c>
      <c r="G5" s="61">
        <v>1.67</v>
      </c>
      <c r="H5" s="61">
        <v>62.64</v>
      </c>
      <c r="I5" s="61">
        <v>68.97</v>
      </c>
      <c r="J5" s="61">
        <v>4.7</v>
      </c>
      <c r="K5" s="61">
        <v>1.67</v>
      </c>
      <c r="L5" s="61">
        <v>1.65</v>
      </c>
      <c r="M5" s="61">
        <v>7.98</v>
      </c>
      <c r="N5" s="9">
        <v>59.97</v>
      </c>
      <c r="O5" s="9">
        <v>0.18</v>
      </c>
      <c r="P5" s="9">
        <v>59</v>
      </c>
      <c r="Q5" s="9">
        <v>60</v>
      </c>
      <c r="R5" s="10" t="s">
        <v>136</v>
      </c>
    </row>
    <row r="6" spans="1:27" s="9" customFormat="1" x14ac:dyDescent="0.3">
      <c r="A6" s="64" t="s">
        <v>11</v>
      </c>
      <c r="B6" s="9">
        <v>84.14</v>
      </c>
      <c r="C6" s="9">
        <v>10.61</v>
      </c>
      <c r="D6" s="9">
        <v>69.5</v>
      </c>
      <c r="E6" s="9">
        <v>153.30000000000001</v>
      </c>
      <c r="F6" s="61">
        <v>121.6</v>
      </c>
      <c r="G6" s="61">
        <v>1.54</v>
      </c>
      <c r="H6" s="61">
        <v>118.7</v>
      </c>
      <c r="I6" s="61">
        <v>124.8</v>
      </c>
      <c r="J6" s="61">
        <v>2.52</v>
      </c>
      <c r="K6" s="61">
        <v>1.51</v>
      </c>
      <c r="L6" s="61">
        <v>0</v>
      </c>
      <c r="M6" s="61">
        <v>5.7</v>
      </c>
      <c r="N6" s="9">
        <v>59.79</v>
      </c>
      <c r="O6" s="9">
        <v>0.41</v>
      </c>
      <c r="P6" s="9">
        <v>59</v>
      </c>
      <c r="Q6" s="9">
        <v>60</v>
      </c>
      <c r="R6" s="10" t="s">
        <v>137</v>
      </c>
    </row>
    <row r="7" spans="1:27" s="14" customFormat="1" ht="16.2" thickBot="1" x14ac:dyDescent="0.35">
      <c r="A7" s="40" t="s">
        <v>172</v>
      </c>
      <c r="B7" s="12">
        <v>100.21</v>
      </c>
      <c r="C7" s="12">
        <v>7.87</v>
      </c>
      <c r="D7" s="12">
        <v>77.3</v>
      </c>
      <c r="E7" s="12">
        <v>113.3</v>
      </c>
      <c r="F7" s="12">
        <v>92.38</v>
      </c>
      <c r="G7" s="12">
        <v>2.7</v>
      </c>
      <c r="H7" s="12">
        <v>87.61</v>
      </c>
      <c r="I7" s="12">
        <v>100.11</v>
      </c>
      <c r="J7" s="12">
        <v>9.01</v>
      </c>
      <c r="K7" s="12">
        <v>2.7</v>
      </c>
      <c r="L7" s="12">
        <v>4.24</v>
      </c>
      <c r="M7" s="12">
        <v>16.75</v>
      </c>
      <c r="N7" s="12">
        <v>59.71</v>
      </c>
      <c r="O7" s="12">
        <v>0.56000000000000005</v>
      </c>
      <c r="P7" s="12">
        <v>58</v>
      </c>
      <c r="Q7" s="12">
        <v>60</v>
      </c>
      <c r="R7" s="13" t="s">
        <v>138</v>
      </c>
      <c r="S7" s="12"/>
      <c r="T7" s="12"/>
      <c r="U7" s="12"/>
      <c r="V7" s="12"/>
      <c r="W7" s="12"/>
      <c r="X7" s="12"/>
      <c r="Y7" s="12"/>
      <c r="Z7" s="12"/>
      <c r="AA7" s="12"/>
    </row>
    <row r="8" spans="1:27" s="94" customFormat="1" ht="16.2" thickBot="1" x14ac:dyDescent="0.35">
      <c r="A8" s="92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3"/>
    </row>
    <row r="9" spans="1:27" s="39" customFormat="1" x14ac:dyDescent="0.3">
      <c r="A9" s="71"/>
      <c r="B9" s="65" t="s">
        <v>0</v>
      </c>
      <c r="C9" s="65"/>
      <c r="D9" s="65"/>
      <c r="E9" s="65"/>
      <c r="F9" s="66" t="s">
        <v>1</v>
      </c>
      <c r="G9" s="66"/>
      <c r="H9" s="66"/>
      <c r="I9" s="66"/>
      <c r="J9" s="65" t="s">
        <v>2</v>
      </c>
      <c r="K9" s="65"/>
      <c r="L9" s="65"/>
      <c r="M9" s="65"/>
      <c r="N9" s="65" t="s">
        <v>3</v>
      </c>
      <c r="O9" s="65"/>
      <c r="P9" s="65"/>
      <c r="Q9" s="65"/>
      <c r="R9" s="38"/>
    </row>
    <row r="10" spans="1:27" s="9" customFormat="1" x14ac:dyDescent="0.3">
      <c r="A10" s="72"/>
      <c r="B10" s="7" t="s">
        <v>4</v>
      </c>
      <c r="C10" s="18" t="s">
        <v>5</v>
      </c>
      <c r="D10" s="18" t="s">
        <v>6</v>
      </c>
      <c r="E10" s="18" t="s">
        <v>7</v>
      </c>
      <c r="F10" s="7" t="s">
        <v>4</v>
      </c>
      <c r="G10" s="18" t="s">
        <v>5</v>
      </c>
      <c r="H10" s="18" t="s">
        <v>6</v>
      </c>
      <c r="I10" s="18" t="s">
        <v>7</v>
      </c>
      <c r="J10" s="7" t="s">
        <v>4</v>
      </c>
      <c r="K10" s="18" t="s">
        <v>5</v>
      </c>
      <c r="L10" s="18" t="s">
        <v>6</v>
      </c>
      <c r="M10" s="18" t="s">
        <v>7</v>
      </c>
      <c r="N10" s="7" t="s">
        <v>4</v>
      </c>
      <c r="O10" s="18" t="s">
        <v>5</v>
      </c>
      <c r="P10" s="18" t="s">
        <v>6</v>
      </c>
      <c r="Q10" s="18" t="s">
        <v>7</v>
      </c>
      <c r="R10" s="10"/>
    </row>
    <row r="11" spans="1:27" s="9" customFormat="1" x14ac:dyDescent="0.3">
      <c r="A11" s="64" t="s">
        <v>171</v>
      </c>
      <c r="B11" s="9">
        <v>79.84</v>
      </c>
      <c r="C11" s="9">
        <v>6.22</v>
      </c>
      <c r="D11" s="9">
        <v>64.7</v>
      </c>
      <c r="E11" s="9">
        <v>94.1</v>
      </c>
      <c r="F11" s="61">
        <v>67.13</v>
      </c>
      <c r="G11" s="61">
        <v>1.77</v>
      </c>
      <c r="H11" s="61">
        <v>63.86</v>
      </c>
      <c r="I11" s="61">
        <v>70.62</v>
      </c>
      <c r="J11" s="61">
        <v>2.02</v>
      </c>
      <c r="K11" s="61">
        <v>1.66</v>
      </c>
      <c r="L11" s="61">
        <v>0</v>
      </c>
      <c r="M11" s="61">
        <v>5.44</v>
      </c>
      <c r="N11" s="61">
        <v>59.95</v>
      </c>
      <c r="O11" s="61">
        <v>0.22</v>
      </c>
      <c r="P11" s="61">
        <v>59</v>
      </c>
      <c r="Q11" s="61">
        <v>60</v>
      </c>
      <c r="R11" s="10" t="s">
        <v>139</v>
      </c>
    </row>
    <row r="12" spans="1:27" s="9" customFormat="1" x14ac:dyDescent="0.3">
      <c r="A12" s="64" t="s">
        <v>9</v>
      </c>
      <c r="B12" s="9">
        <v>80.069999999999993</v>
      </c>
      <c r="C12" s="9">
        <v>7.04</v>
      </c>
      <c r="D12" s="9">
        <v>60</v>
      </c>
      <c r="E12" s="9">
        <v>93.1</v>
      </c>
      <c r="F12" s="61">
        <v>66.42</v>
      </c>
      <c r="G12" s="61">
        <v>1.83</v>
      </c>
      <c r="H12" s="61">
        <v>63.01</v>
      </c>
      <c r="I12" s="61">
        <v>70.510000000000005</v>
      </c>
      <c r="J12" s="61">
        <v>1.88</v>
      </c>
      <c r="K12" s="61">
        <v>1.65</v>
      </c>
      <c r="L12" s="61">
        <v>0</v>
      </c>
      <c r="M12" s="61">
        <v>5.83</v>
      </c>
      <c r="N12" s="61">
        <v>59.97</v>
      </c>
      <c r="O12" s="61">
        <v>0.18</v>
      </c>
      <c r="P12" s="61">
        <v>59</v>
      </c>
      <c r="Q12" s="61">
        <v>60</v>
      </c>
      <c r="R12" s="10" t="s">
        <v>140</v>
      </c>
    </row>
    <row r="13" spans="1:27" s="9" customFormat="1" x14ac:dyDescent="0.3">
      <c r="A13" s="64" t="s">
        <v>11</v>
      </c>
      <c r="B13" s="9">
        <v>85.82</v>
      </c>
      <c r="C13" s="9">
        <v>10.52</v>
      </c>
      <c r="D13" s="9">
        <v>66.2</v>
      </c>
      <c r="E13" s="9">
        <v>152.9</v>
      </c>
      <c r="F13" s="9">
        <v>121.65</v>
      </c>
      <c r="G13" s="9">
        <v>1.71</v>
      </c>
      <c r="H13" s="9">
        <v>118</v>
      </c>
      <c r="I13" s="9">
        <v>125.2</v>
      </c>
      <c r="J13" s="61">
        <v>1.36</v>
      </c>
      <c r="K13" s="61">
        <v>1.3</v>
      </c>
      <c r="L13" s="61">
        <v>0</v>
      </c>
      <c r="M13" s="61">
        <v>4.5999999999999996</v>
      </c>
      <c r="N13" s="61">
        <v>59.79</v>
      </c>
      <c r="O13" s="61">
        <v>0.45</v>
      </c>
      <c r="P13" s="61">
        <v>58</v>
      </c>
      <c r="Q13" s="61">
        <v>60</v>
      </c>
      <c r="R13" s="10" t="s">
        <v>141</v>
      </c>
    </row>
    <row r="14" spans="1:27" s="14" customFormat="1" ht="16.2" thickBot="1" x14ac:dyDescent="0.35">
      <c r="A14" s="40" t="s">
        <v>172</v>
      </c>
      <c r="B14" s="12">
        <v>95.33</v>
      </c>
      <c r="C14" s="12">
        <v>13.77</v>
      </c>
      <c r="D14" s="12">
        <v>45</v>
      </c>
      <c r="E14" s="12">
        <v>120.8</v>
      </c>
      <c r="F14" s="12">
        <v>90.07</v>
      </c>
      <c r="G14" s="12">
        <v>2.5</v>
      </c>
      <c r="H14" s="12">
        <v>83.89</v>
      </c>
      <c r="I14" s="12">
        <v>95.88</v>
      </c>
      <c r="J14" s="12">
        <v>7.41</v>
      </c>
      <c r="K14" s="12">
        <v>2.5</v>
      </c>
      <c r="L14" s="12">
        <v>1.23</v>
      </c>
      <c r="M14" s="12">
        <v>13.22</v>
      </c>
      <c r="N14" s="12">
        <v>59.62</v>
      </c>
      <c r="O14" s="12">
        <v>0.62</v>
      </c>
      <c r="P14" s="12">
        <v>58</v>
      </c>
      <c r="Q14" s="12">
        <v>60</v>
      </c>
      <c r="R14" s="13" t="s">
        <v>142</v>
      </c>
      <c r="S14" s="12"/>
      <c r="T14" s="12"/>
      <c r="U14" s="12"/>
      <c r="V14" s="12"/>
      <c r="W14" s="12"/>
      <c r="X14" s="12"/>
      <c r="Y14" s="12"/>
      <c r="Z14" s="12"/>
      <c r="AA14" s="12"/>
    </row>
    <row r="15" spans="1:27" s="94" customFormat="1" ht="16.2" thickBot="1" x14ac:dyDescent="0.35">
      <c r="A15" s="92"/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3"/>
    </row>
    <row r="16" spans="1:27" s="39" customFormat="1" x14ac:dyDescent="0.3">
      <c r="A16" s="71"/>
      <c r="B16" s="65" t="s">
        <v>0</v>
      </c>
      <c r="C16" s="65"/>
      <c r="D16" s="65"/>
      <c r="E16" s="65"/>
      <c r="F16" s="66" t="s">
        <v>1</v>
      </c>
      <c r="G16" s="66"/>
      <c r="H16" s="66"/>
      <c r="I16" s="66"/>
      <c r="J16" s="65" t="s">
        <v>2</v>
      </c>
      <c r="K16" s="65"/>
      <c r="L16" s="65"/>
      <c r="M16" s="65"/>
      <c r="N16" s="65" t="s">
        <v>3</v>
      </c>
      <c r="O16" s="65"/>
      <c r="P16" s="65"/>
      <c r="Q16" s="65"/>
      <c r="R16" s="38"/>
    </row>
    <row r="17" spans="1:27" s="9" customFormat="1" x14ac:dyDescent="0.3">
      <c r="A17" s="72"/>
      <c r="B17" s="7" t="s">
        <v>4</v>
      </c>
      <c r="C17" s="18" t="s">
        <v>5</v>
      </c>
      <c r="D17" s="18" t="s">
        <v>6</v>
      </c>
      <c r="E17" s="18" t="s">
        <v>7</v>
      </c>
      <c r="F17" s="7" t="s">
        <v>4</v>
      </c>
      <c r="G17" s="18" t="s">
        <v>5</v>
      </c>
      <c r="H17" s="18" t="s">
        <v>6</v>
      </c>
      <c r="I17" s="18" t="s">
        <v>7</v>
      </c>
      <c r="J17" s="7" t="s">
        <v>4</v>
      </c>
      <c r="K17" s="18" t="s">
        <v>5</v>
      </c>
      <c r="L17" s="18" t="s">
        <v>6</v>
      </c>
      <c r="M17" s="18" t="s">
        <v>7</v>
      </c>
      <c r="N17" s="7" t="s">
        <v>4</v>
      </c>
      <c r="O17" s="18" t="s">
        <v>5</v>
      </c>
      <c r="P17" s="18" t="s">
        <v>6</v>
      </c>
      <c r="Q17" s="18" t="s">
        <v>7</v>
      </c>
      <c r="R17" s="10"/>
    </row>
    <row r="18" spans="1:27" s="9" customFormat="1" x14ac:dyDescent="0.3">
      <c r="A18" s="64" t="s">
        <v>171</v>
      </c>
      <c r="B18" s="9">
        <v>81.61</v>
      </c>
      <c r="C18" s="9">
        <v>6.14</v>
      </c>
      <c r="D18" s="9">
        <v>58.3</v>
      </c>
      <c r="E18" s="9">
        <v>95.4</v>
      </c>
      <c r="F18" s="61">
        <v>65.87</v>
      </c>
      <c r="G18" s="61">
        <v>1.86</v>
      </c>
      <c r="H18" s="61">
        <v>61.69</v>
      </c>
      <c r="I18" s="61">
        <v>69.5</v>
      </c>
      <c r="J18" s="61">
        <v>3.17</v>
      </c>
      <c r="K18" s="61">
        <v>1.82</v>
      </c>
      <c r="L18" s="61">
        <v>0</v>
      </c>
      <c r="M18" s="61">
        <v>6.77</v>
      </c>
      <c r="N18" s="61">
        <v>59.98</v>
      </c>
      <c r="O18" s="61">
        <v>0.13</v>
      </c>
      <c r="P18" s="61">
        <v>59</v>
      </c>
      <c r="Q18" s="61">
        <v>60</v>
      </c>
      <c r="R18" s="10" t="s">
        <v>143</v>
      </c>
    </row>
    <row r="19" spans="1:27" s="9" customFormat="1" x14ac:dyDescent="0.3">
      <c r="A19" s="64" t="s">
        <v>9</v>
      </c>
      <c r="B19" s="19">
        <v>78.31</v>
      </c>
      <c r="C19" s="19">
        <v>7.33</v>
      </c>
      <c r="D19" s="19">
        <v>58.8</v>
      </c>
      <c r="E19" s="19">
        <v>94.7</v>
      </c>
      <c r="F19" s="19">
        <v>68.040000000000006</v>
      </c>
      <c r="G19" s="19">
        <v>2.11</v>
      </c>
      <c r="H19" s="19">
        <v>64.87</v>
      </c>
      <c r="I19" s="19">
        <v>74.36</v>
      </c>
      <c r="J19" s="19">
        <v>2.65</v>
      </c>
      <c r="K19" s="19">
        <v>2.08</v>
      </c>
      <c r="L19" s="19">
        <v>0</v>
      </c>
      <c r="M19" s="19">
        <v>8.9499999999999993</v>
      </c>
      <c r="N19" s="19">
        <v>59.98</v>
      </c>
      <c r="O19" s="19">
        <v>0.13</v>
      </c>
      <c r="P19" s="19">
        <v>59</v>
      </c>
      <c r="Q19" s="19">
        <v>60</v>
      </c>
      <c r="R19" s="10" t="s">
        <v>144</v>
      </c>
      <c r="S19" s="19"/>
      <c r="T19" s="19"/>
      <c r="U19" s="19"/>
      <c r="V19" s="19"/>
      <c r="W19" s="19"/>
      <c r="X19" s="19"/>
      <c r="Y19" s="19"/>
      <c r="Z19" s="19"/>
      <c r="AA19" s="19"/>
    </row>
    <row r="20" spans="1:27" s="9" customFormat="1" x14ac:dyDescent="0.3">
      <c r="A20" s="64" t="s">
        <v>11</v>
      </c>
      <c r="B20" s="19">
        <v>82.04</v>
      </c>
      <c r="C20" s="19">
        <v>8.98</v>
      </c>
      <c r="D20" s="19">
        <v>65.599999999999994</v>
      </c>
      <c r="E20" s="19">
        <v>124.5</v>
      </c>
      <c r="F20" s="19">
        <v>131.19</v>
      </c>
      <c r="G20" s="19">
        <v>1.62</v>
      </c>
      <c r="H20" s="19">
        <v>128.1</v>
      </c>
      <c r="I20" s="19">
        <v>134</v>
      </c>
      <c r="J20" s="19">
        <v>1.42</v>
      </c>
      <c r="K20" s="19">
        <v>1.31</v>
      </c>
      <c r="L20" s="19">
        <v>0</v>
      </c>
      <c r="M20" s="19">
        <v>4</v>
      </c>
      <c r="N20" s="19">
        <v>59.88</v>
      </c>
      <c r="O20" s="19">
        <v>0.33</v>
      </c>
      <c r="P20" s="19">
        <v>59</v>
      </c>
      <c r="Q20" s="19">
        <v>60</v>
      </c>
      <c r="R20" s="10" t="s">
        <v>145</v>
      </c>
      <c r="S20" s="19"/>
      <c r="T20" s="19"/>
      <c r="U20" s="19"/>
      <c r="V20" s="19"/>
      <c r="W20" s="19"/>
      <c r="X20" s="19"/>
      <c r="Y20" s="19"/>
      <c r="Z20" s="19"/>
      <c r="AA20" s="19"/>
    </row>
    <row r="21" spans="1:27" s="14" customFormat="1" ht="16.2" thickBot="1" x14ac:dyDescent="0.35">
      <c r="A21" s="40" t="s">
        <v>172</v>
      </c>
      <c r="B21" s="12">
        <v>100.41</v>
      </c>
      <c r="C21" s="12">
        <v>9.07</v>
      </c>
      <c r="D21" s="12">
        <v>73.2</v>
      </c>
      <c r="E21" s="12">
        <v>114.1</v>
      </c>
      <c r="F21" s="12">
        <v>91.81</v>
      </c>
      <c r="G21" s="12">
        <v>2.71</v>
      </c>
      <c r="H21" s="12">
        <v>86.94</v>
      </c>
      <c r="I21" s="12">
        <v>99.41</v>
      </c>
      <c r="J21" s="12">
        <v>7.25</v>
      </c>
      <c r="K21" s="12">
        <v>2.71</v>
      </c>
      <c r="L21" s="12">
        <v>2.38</v>
      </c>
      <c r="M21" s="12">
        <v>14.85</v>
      </c>
      <c r="N21" s="12">
        <v>59.64</v>
      </c>
      <c r="O21" s="12">
        <v>0.72</v>
      </c>
      <c r="P21" s="12">
        <v>58</v>
      </c>
      <c r="Q21" s="12">
        <v>61</v>
      </c>
      <c r="R21" s="13" t="s">
        <v>146</v>
      </c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94" customFormat="1" ht="16.2" thickBot="1" x14ac:dyDescent="0.35">
      <c r="A22" s="92"/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3"/>
    </row>
    <row r="23" spans="1:27" s="39" customFormat="1" x14ac:dyDescent="0.3">
      <c r="A23" s="81"/>
      <c r="B23" s="65" t="s">
        <v>0</v>
      </c>
      <c r="C23" s="65"/>
      <c r="D23" s="65"/>
      <c r="E23" s="65"/>
      <c r="F23" s="66" t="s">
        <v>1</v>
      </c>
      <c r="G23" s="66"/>
      <c r="H23" s="66"/>
      <c r="I23" s="66"/>
      <c r="J23" s="65" t="s">
        <v>2</v>
      </c>
      <c r="K23" s="65"/>
      <c r="L23" s="65"/>
      <c r="M23" s="65"/>
      <c r="N23" s="65" t="s">
        <v>3</v>
      </c>
      <c r="O23" s="65"/>
      <c r="P23" s="65"/>
      <c r="Q23" s="65"/>
      <c r="R23" s="38"/>
    </row>
    <row r="24" spans="1:27" s="9" customFormat="1" x14ac:dyDescent="0.3">
      <c r="A24" s="82"/>
      <c r="B24" s="7" t="s">
        <v>4</v>
      </c>
      <c r="C24" s="18" t="s">
        <v>5</v>
      </c>
      <c r="D24" s="18" t="s">
        <v>6</v>
      </c>
      <c r="E24" s="18" t="s">
        <v>7</v>
      </c>
      <c r="F24" s="7" t="s">
        <v>4</v>
      </c>
      <c r="G24" s="18" t="s">
        <v>5</v>
      </c>
      <c r="H24" s="18" t="s">
        <v>6</v>
      </c>
      <c r="I24" s="18" t="s">
        <v>7</v>
      </c>
      <c r="J24" s="7" t="s">
        <v>4</v>
      </c>
      <c r="K24" s="18" t="s">
        <v>5</v>
      </c>
      <c r="L24" s="18" t="s">
        <v>6</v>
      </c>
      <c r="M24" s="18" t="s">
        <v>7</v>
      </c>
      <c r="N24" s="7" t="s">
        <v>4</v>
      </c>
      <c r="O24" s="18" t="s">
        <v>5</v>
      </c>
      <c r="P24" s="18" t="s">
        <v>6</v>
      </c>
      <c r="Q24" s="18" t="s">
        <v>7</v>
      </c>
      <c r="R24" s="10"/>
    </row>
    <row r="25" spans="1:27" s="9" customFormat="1" x14ac:dyDescent="0.3">
      <c r="A25" s="64" t="s">
        <v>171</v>
      </c>
      <c r="B25" s="19">
        <v>80.89</v>
      </c>
      <c r="C25" s="19">
        <v>6.63</v>
      </c>
      <c r="D25" s="19">
        <v>58.9</v>
      </c>
      <c r="E25" s="19">
        <v>93.8</v>
      </c>
      <c r="F25" s="19">
        <v>67.75</v>
      </c>
      <c r="G25" s="19">
        <v>1.82</v>
      </c>
      <c r="H25" s="19">
        <v>64.92</v>
      </c>
      <c r="I25" s="19">
        <v>71.66</v>
      </c>
      <c r="J25" s="19">
        <v>2.5499999999999998</v>
      </c>
      <c r="K25" s="19">
        <v>1.8</v>
      </c>
      <c r="L25" s="19">
        <v>0</v>
      </c>
      <c r="M25" s="19">
        <v>6.43</v>
      </c>
      <c r="N25" s="19">
        <v>60</v>
      </c>
      <c r="O25" s="19">
        <v>0</v>
      </c>
      <c r="P25" s="19">
        <v>60</v>
      </c>
      <c r="Q25" s="19">
        <v>60</v>
      </c>
      <c r="R25" s="10" t="s">
        <v>147</v>
      </c>
      <c r="S25" s="19"/>
      <c r="T25" s="19"/>
      <c r="U25" s="19"/>
      <c r="V25" s="19"/>
      <c r="W25" s="19"/>
      <c r="X25" s="19"/>
      <c r="Y25" s="19"/>
      <c r="Z25" s="19"/>
      <c r="AA25" s="19"/>
    </row>
    <row r="26" spans="1:27" s="9" customFormat="1" x14ac:dyDescent="0.3">
      <c r="A26" s="64" t="s">
        <v>9</v>
      </c>
      <c r="B26" s="63">
        <v>80.650000000000006</v>
      </c>
      <c r="C26" s="19">
        <v>6.07</v>
      </c>
      <c r="D26" s="19">
        <v>67.7</v>
      </c>
      <c r="E26" s="19">
        <v>91.8</v>
      </c>
      <c r="F26" s="19">
        <v>65.94</v>
      </c>
      <c r="G26" s="19">
        <v>1.78</v>
      </c>
      <c r="H26" s="19">
        <v>62.72</v>
      </c>
      <c r="I26" s="19">
        <v>70.09</v>
      </c>
      <c r="J26" s="19">
        <v>2.94</v>
      </c>
      <c r="K26" s="19">
        <v>1.77</v>
      </c>
      <c r="L26" s="19">
        <v>0</v>
      </c>
      <c r="M26" s="19">
        <v>7.09</v>
      </c>
      <c r="N26" s="19">
        <v>59.97</v>
      </c>
      <c r="O26" s="19">
        <v>0.18</v>
      </c>
      <c r="P26" s="19">
        <v>59</v>
      </c>
      <c r="Q26" s="19">
        <v>60</v>
      </c>
      <c r="R26" s="10" t="s">
        <v>148</v>
      </c>
      <c r="S26" s="19"/>
      <c r="T26" s="19"/>
      <c r="U26" s="19"/>
      <c r="V26" s="19"/>
      <c r="W26" s="19"/>
      <c r="X26" s="19"/>
      <c r="Y26" s="19"/>
      <c r="Z26" s="19"/>
      <c r="AA26" s="19"/>
    </row>
    <row r="27" spans="1:27" s="9" customFormat="1" x14ac:dyDescent="0.3">
      <c r="A27" s="64" t="s">
        <v>11</v>
      </c>
      <c r="B27" s="19">
        <v>82.33</v>
      </c>
      <c r="C27" s="19">
        <v>13.04</v>
      </c>
      <c r="D27" s="19">
        <v>53.3</v>
      </c>
      <c r="E27" s="19">
        <v>156.9</v>
      </c>
      <c r="F27" s="19">
        <v>130.96</v>
      </c>
      <c r="G27" s="19">
        <v>1.61</v>
      </c>
      <c r="H27" s="19">
        <v>127.7</v>
      </c>
      <c r="I27" s="19">
        <v>134.19999999999999</v>
      </c>
      <c r="J27" s="19">
        <v>1.1200000000000001</v>
      </c>
      <c r="K27" s="19">
        <v>1.17</v>
      </c>
      <c r="L27" s="19">
        <v>0</v>
      </c>
      <c r="M27" s="19">
        <v>4</v>
      </c>
      <c r="N27" s="19">
        <v>59.86</v>
      </c>
      <c r="O27" s="19">
        <v>0.4</v>
      </c>
      <c r="P27" s="19">
        <v>58</v>
      </c>
      <c r="Q27" s="19">
        <v>60</v>
      </c>
      <c r="R27" s="10" t="s">
        <v>149</v>
      </c>
      <c r="S27" s="19"/>
      <c r="T27" s="19"/>
      <c r="U27" s="19"/>
      <c r="V27" s="19"/>
      <c r="W27" s="19"/>
      <c r="X27" s="19"/>
      <c r="Y27" s="19"/>
      <c r="Z27" s="19"/>
      <c r="AA27" s="19"/>
    </row>
    <row r="28" spans="1:27" s="14" customFormat="1" ht="16.2" thickBot="1" x14ac:dyDescent="0.35">
      <c r="A28" s="40" t="s">
        <v>172</v>
      </c>
      <c r="B28" s="12">
        <v>99.65</v>
      </c>
      <c r="C28" s="12">
        <v>8.25</v>
      </c>
      <c r="D28" s="12">
        <v>72.8</v>
      </c>
      <c r="E28" s="12">
        <v>116.2</v>
      </c>
      <c r="F28" s="12">
        <v>90.34</v>
      </c>
      <c r="G28" s="12">
        <v>2.77</v>
      </c>
      <c r="H28" s="12">
        <v>85.28</v>
      </c>
      <c r="I28" s="12">
        <v>98.52</v>
      </c>
      <c r="J28" s="12">
        <v>8.9</v>
      </c>
      <c r="K28" s="12">
        <v>2.77</v>
      </c>
      <c r="L28" s="12">
        <v>3.84</v>
      </c>
      <c r="M28" s="12">
        <v>17.079999999999998</v>
      </c>
      <c r="N28" s="12">
        <v>59.67</v>
      </c>
      <c r="O28" s="12">
        <v>0.71</v>
      </c>
      <c r="P28" s="12">
        <v>57</v>
      </c>
      <c r="Q28" s="12">
        <v>61</v>
      </c>
      <c r="R28" s="13" t="s">
        <v>150</v>
      </c>
      <c r="S28" s="12"/>
      <c r="T28" s="12"/>
      <c r="U28" s="12"/>
      <c r="V28" s="12"/>
      <c r="W28" s="12"/>
      <c r="X28" s="12"/>
      <c r="Y28" s="12"/>
      <c r="Z28" s="12"/>
      <c r="AA28" s="12"/>
    </row>
    <row r="29" spans="1:27" s="94" customFormat="1" ht="16.2" thickBot="1" x14ac:dyDescent="0.3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3"/>
    </row>
    <row r="30" spans="1:27" s="39" customFormat="1" x14ac:dyDescent="0.3">
      <c r="A30" s="71"/>
      <c r="B30" s="65" t="s">
        <v>0</v>
      </c>
      <c r="C30" s="65"/>
      <c r="D30" s="65"/>
      <c r="E30" s="65"/>
      <c r="F30" s="66" t="s">
        <v>1</v>
      </c>
      <c r="G30" s="66"/>
      <c r="H30" s="66"/>
      <c r="I30" s="66"/>
      <c r="J30" s="65" t="s">
        <v>2</v>
      </c>
      <c r="K30" s="65"/>
      <c r="L30" s="65"/>
      <c r="M30" s="65"/>
      <c r="N30" s="65" t="s">
        <v>3</v>
      </c>
      <c r="O30" s="65"/>
      <c r="P30" s="65"/>
      <c r="Q30" s="65"/>
      <c r="R30" s="38"/>
    </row>
    <row r="31" spans="1:27" s="9" customFormat="1" x14ac:dyDescent="0.3">
      <c r="A31" s="72"/>
      <c r="B31" s="7" t="s">
        <v>4</v>
      </c>
      <c r="C31" s="18" t="s">
        <v>5</v>
      </c>
      <c r="D31" s="18" t="s">
        <v>6</v>
      </c>
      <c r="E31" s="18" t="s">
        <v>7</v>
      </c>
      <c r="F31" s="7" t="s">
        <v>4</v>
      </c>
      <c r="G31" s="18" t="s">
        <v>5</v>
      </c>
      <c r="H31" s="18" t="s">
        <v>6</v>
      </c>
      <c r="I31" s="18" t="s">
        <v>7</v>
      </c>
      <c r="J31" s="7" t="s">
        <v>4</v>
      </c>
      <c r="K31" s="18" t="s">
        <v>5</v>
      </c>
      <c r="L31" s="18" t="s">
        <v>6</v>
      </c>
      <c r="M31" s="18" t="s">
        <v>7</v>
      </c>
      <c r="N31" s="7" t="s">
        <v>4</v>
      </c>
      <c r="O31" s="18" t="s">
        <v>5</v>
      </c>
      <c r="P31" s="18" t="s">
        <v>6</v>
      </c>
      <c r="Q31" s="18" t="s">
        <v>7</v>
      </c>
      <c r="R31" s="10"/>
    </row>
    <row r="32" spans="1:27" s="9" customFormat="1" x14ac:dyDescent="0.3">
      <c r="A32" s="64" t="s">
        <v>171</v>
      </c>
      <c r="B32" s="19">
        <v>79.53</v>
      </c>
      <c r="C32" s="19">
        <v>6.7</v>
      </c>
      <c r="D32" s="19">
        <v>60.4</v>
      </c>
      <c r="E32" s="19">
        <v>93.5</v>
      </c>
      <c r="F32" s="19">
        <v>67.06</v>
      </c>
      <c r="G32" s="19">
        <v>1.73</v>
      </c>
      <c r="H32" s="19">
        <v>64.12</v>
      </c>
      <c r="I32" s="19">
        <v>70.13</v>
      </c>
      <c r="J32" s="19">
        <v>3.3</v>
      </c>
      <c r="K32" s="19">
        <v>1.73</v>
      </c>
      <c r="L32" s="19">
        <v>0.36</v>
      </c>
      <c r="M32" s="19">
        <v>6.37</v>
      </c>
      <c r="N32" s="19">
        <v>60</v>
      </c>
      <c r="O32" s="19">
        <v>0</v>
      </c>
      <c r="P32" s="19">
        <v>60</v>
      </c>
      <c r="Q32" s="19">
        <v>60</v>
      </c>
      <c r="R32" s="10" t="s">
        <v>151</v>
      </c>
      <c r="S32" s="19"/>
      <c r="T32" s="19"/>
      <c r="U32" s="19"/>
      <c r="V32" s="19"/>
      <c r="W32" s="19"/>
      <c r="X32" s="19"/>
      <c r="Y32" s="19"/>
      <c r="Z32" s="19"/>
      <c r="AA32" s="19"/>
    </row>
    <row r="33" spans="1:27" s="9" customFormat="1" x14ac:dyDescent="0.3">
      <c r="A33" s="64" t="s">
        <v>9</v>
      </c>
      <c r="B33" s="19">
        <v>80.849999999999994</v>
      </c>
      <c r="C33" s="19">
        <v>4.8</v>
      </c>
      <c r="D33" s="19">
        <v>70.5</v>
      </c>
      <c r="E33" s="19">
        <v>90</v>
      </c>
      <c r="F33" s="19">
        <v>65.69</v>
      </c>
      <c r="G33" s="19">
        <v>1.67</v>
      </c>
      <c r="H33" s="19">
        <v>62.64</v>
      </c>
      <c r="I33" s="19">
        <v>68.97</v>
      </c>
      <c r="J33" s="19">
        <v>4.7</v>
      </c>
      <c r="K33" s="19">
        <v>1.67</v>
      </c>
      <c r="L33" s="19">
        <v>1.65</v>
      </c>
      <c r="M33" s="19">
        <v>7.98</v>
      </c>
      <c r="N33" s="19">
        <v>59.97</v>
      </c>
      <c r="O33" s="19">
        <v>0.18</v>
      </c>
      <c r="P33" s="19">
        <v>59</v>
      </c>
      <c r="Q33" s="19">
        <v>60</v>
      </c>
      <c r="R33" s="10" t="s">
        <v>136</v>
      </c>
      <c r="S33" s="19"/>
      <c r="T33" s="19"/>
      <c r="U33" s="19"/>
      <c r="V33" s="19"/>
      <c r="W33" s="19"/>
      <c r="X33" s="19"/>
      <c r="Y33" s="19"/>
      <c r="Z33" s="19"/>
      <c r="AA33" s="19"/>
    </row>
    <row r="34" spans="1:27" s="9" customFormat="1" x14ac:dyDescent="0.3">
      <c r="A34" s="64" t="s">
        <v>11</v>
      </c>
      <c r="B34" s="19">
        <v>86.78</v>
      </c>
      <c r="C34" s="19">
        <v>9.51</v>
      </c>
      <c r="D34" s="19">
        <v>67</v>
      </c>
      <c r="E34" s="19">
        <v>144.9</v>
      </c>
      <c r="F34" s="19">
        <v>121.22</v>
      </c>
      <c r="G34" s="19">
        <v>1.59</v>
      </c>
      <c r="H34" s="19">
        <v>118.2</v>
      </c>
      <c r="I34" s="19">
        <v>124.4</v>
      </c>
      <c r="J34" s="19">
        <v>1.08</v>
      </c>
      <c r="K34" s="19">
        <v>1.17</v>
      </c>
      <c r="L34" s="19">
        <v>0</v>
      </c>
      <c r="M34" s="19">
        <v>3.9</v>
      </c>
      <c r="N34" s="19">
        <v>59.91</v>
      </c>
      <c r="O34" s="19">
        <v>0.28999999999999998</v>
      </c>
      <c r="P34" s="19">
        <v>59</v>
      </c>
      <c r="Q34" s="19">
        <v>60</v>
      </c>
      <c r="R34" s="10" t="s">
        <v>152</v>
      </c>
      <c r="S34" s="19"/>
      <c r="T34" s="19"/>
      <c r="U34" s="19"/>
      <c r="V34" s="19"/>
      <c r="W34" s="19"/>
      <c r="X34" s="19"/>
      <c r="Y34" s="19"/>
      <c r="Z34" s="19"/>
      <c r="AA34" s="19"/>
    </row>
    <row r="35" spans="1:27" s="14" customFormat="1" ht="16.2" thickBot="1" x14ac:dyDescent="0.35">
      <c r="A35" s="40" t="s">
        <v>172</v>
      </c>
      <c r="B35" s="12">
        <v>91.49</v>
      </c>
      <c r="C35" s="12">
        <v>9.61</v>
      </c>
      <c r="D35" s="12">
        <v>73.900000000000006</v>
      </c>
      <c r="E35" s="12">
        <v>110.6</v>
      </c>
      <c r="F35" s="12">
        <v>93.56</v>
      </c>
      <c r="G35" s="12">
        <v>2.67</v>
      </c>
      <c r="H35" s="12">
        <v>88.44</v>
      </c>
      <c r="I35" s="12">
        <v>101.61</v>
      </c>
      <c r="J35" s="12">
        <v>6.29</v>
      </c>
      <c r="K35" s="12">
        <v>2.67</v>
      </c>
      <c r="L35" s="12">
        <v>1.17</v>
      </c>
      <c r="M35" s="12">
        <v>14.34</v>
      </c>
      <c r="N35" s="12">
        <v>59.64</v>
      </c>
      <c r="O35" s="12">
        <v>0.77</v>
      </c>
      <c r="P35" s="12">
        <v>57</v>
      </c>
      <c r="Q35" s="12">
        <v>61</v>
      </c>
      <c r="R35" s="13" t="s">
        <v>163</v>
      </c>
      <c r="S35" s="12"/>
      <c r="T35" s="12"/>
      <c r="U35" s="12"/>
      <c r="V35" s="12"/>
      <c r="W35" s="12"/>
      <c r="X35" s="12"/>
      <c r="Y35" s="12"/>
      <c r="Z35" s="12"/>
      <c r="AA35" s="12"/>
    </row>
    <row r="36" spans="1:27" s="110" customFormat="1" ht="16.2" thickBot="1" x14ac:dyDescent="0.35">
      <c r="A36" s="107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9"/>
    </row>
    <row r="37" spans="1:27" s="39" customFormat="1" ht="15.6" customHeight="1" x14ac:dyDescent="0.3">
      <c r="A37" s="86"/>
      <c r="B37" s="65" t="s">
        <v>0</v>
      </c>
      <c r="C37" s="65"/>
      <c r="D37" s="65"/>
      <c r="E37" s="65"/>
      <c r="F37" s="66" t="s">
        <v>1</v>
      </c>
      <c r="G37" s="66"/>
      <c r="H37" s="66"/>
      <c r="I37" s="66"/>
      <c r="J37" s="65" t="s">
        <v>2</v>
      </c>
      <c r="K37" s="65"/>
      <c r="L37" s="65"/>
      <c r="M37" s="65"/>
      <c r="N37" s="65" t="s">
        <v>3</v>
      </c>
      <c r="O37" s="65"/>
      <c r="P37" s="65"/>
      <c r="Q37" s="65"/>
      <c r="R37" s="38"/>
    </row>
    <row r="38" spans="1:27" s="9" customFormat="1" x14ac:dyDescent="0.3">
      <c r="A38" s="87"/>
      <c r="B38" s="55" t="s">
        <v>4</v>
      </c>
      <c r="C38" s="55" t="s">
        <v>166</v>
      </c>
      <c r="D38" s="55" t="s">
        <v>6</v>
      </c>
      <c r="E38" s="55" t="s">
        <v>7</v>
      </c>
      <c r="F38" s="55" t="s">
        <v>4</v>
      </c>
      <c r="G38" s="55" t="s">
        <v>166</v>
      </c>
      <c r="H38" s="55" t="s">
        <v>6</v>
      </c>
      <c r="I38" s="55" t="s">
        <v>7</v>
      </c>
      <c r="J38" s="55" t="s">
        <v>4</v>
      </c>
      <c r="K38" s="55" t="s">
        <v>166</v>
      </c>
      <c r="L38" s="55" t="s">
        <v>6</v>
      </c>
      <c r="M38" s="55" t="s">
        <v>7</v>
      </c>
      <c r="N38" s="55" t="s">
        <v>4</v>
      </c>
      <c r="O38" s="55" t="s">
        <v>166</v>
      </c>
      <c r="P38" s="55" t="s">
        <v>6</v>
      </c>
      <c r="Q38" s="55" t="s">
        <v>7</v>
      </c>
      <c r="R38" s="10"/>
    </row>
    <row r="39" spans="1:27" x14ac:dyDescent="0.3">
      <c r="A39" s="8" t="s">
        <v>171</v>
      </c>
      <c r="B39" s="9">
        <f>AVERAGE(B4,B11,B18,B25,B32)</f>
        <v>81.405999999999992</v>
      </c>
      <c r="C39" s="9">
        <f>_xlfn.STDEV.S(B4,B11,B18,B25,B32)</f>
        <v>2.2567742465740763</v>
      </c>
      <c r="D39" s="9">
        <f>MIN(D4,D11,D18,D25,D32)</f>
        <v>45.7</v>
      </c>
      <c r="E39" s="9">
        <f>MAX(E4,E11,E18,E25,E32)</f>
        <v>106.6</v>
      </c>
      <c r="F39" s="9">
        <f t="shared" ref="F39:N39" si="0">AVERAGE(F4,F11,F18,F25,F32)</f>
        <v>65.962000000000003</v>
      </c>
      <c r="G39" s="9">
        <f>_xlfn.STDEV.S(F4,F11,F18,F25,F32)</f>
        <v>2.3169311599613827</v>
      </c>
      <c r="H39" s="9">
        <f>MIN(H4,H11,H18,H25,H32)</f>
        <v>58.52</v>
      </c>
      <c r="I39" s="9">
        <f>MAX(I4,I11,I18,I25,I32)</f>
        <v>71.66</v>
      </c>
      <c r="J39" s="9">
        <f t="shared" si="0"/>
        <v>2.7380000000000004</v>
      </c>
      <c r="K39" s="9">
        <f>_xlfn.STDEV.S(J4,J11,J18,J25,J32)</f>
        <v>0.51504368746738294</v>
      </c>
      <c r="L39" s="9">
        <f>MIN(L4,L11,L18,L25,L32)</f>
        <v>0</v>
      </c>
      <c r="M39" s="9">
        <f>MAX(M4,M11,M18,M25,M32)</f>
        <v>6.77</v>
      </c>
      <c r="N39" s="9">
        <f t="shared" si="0"/>
        <v>59.972000000000001</v>
      </c>
      <c r="O39" s="9">
        <f>_xlfn.STDEV.S(N4,N11,N18,N25,N32)</f>
        <v>3.1144823004794268E-2</v>
      </c>
      <c r="P39" s="9">
        <f>MIN(P4,P11,P18,P25,P32)</f>
        <v>58</v>
      </c>
      <c r="Q39" s="9">
        <f>MAX(Q4,Q11,Q18,Q25,Q32)</f>
        <v>60</v>
      </c>
    </row>
    <row r="40" spans="1:27" x14ac:dyDescent="0.3">
      <c r="A40" s="8" t="s">
        <v>9</v>
      </c>
      <c r="B40" s="9">
        <f t="shared" ref="B40:N42" si="1">AVERAGE(B5,B12,B19,B26,B33)</f>
        <v>80.146000000000001</v>
      </c>
      <c r="C40" s="9">
        <f t="shared" ref="C40:C42" si="2">_xlfn.STDEV.S(B5,B12,B19,B26,B33)</f>
        <v>1.0749325560238632</v>
      </c>
      <c r="D40" s="9">
        <f t="shared" ref="D40:D42" si="3">MIN(D5,D12,D19,D26,D33)</f>
        <v>58.8</v>
      </c>
      <c r="E40" s="9">
        <f t="shared" ref="E40:E42" si="4">MAX(E5,E12,E19,E26,E33)</f>
        <v>94.7</v>
      </c>
      <c r="F40" s="9">
        <f t="shared" si="1"/>
        <v>66.356000000000009</v>
      </c>
      <c r="G40" s="9">
        <f t="shared" ref="G40:G42" si="5">_xlfn.STDEV.S(F5,F12,F19,F26,F33)</f>
        <v>0.98743607388023225</v>
      </c>
      <c r="H40" s="9">
        <f t="shared" ref="H40:H42" si="6">MIN(H5,H12,H19,H26,H33)</f>
        <v>62.64</v>
      </c>
      <c r="I40" s="9">
        <f t="shared" ref="I40:I42" si="7">MAX(I5,I12,I19,I26,I33)</f>
        <v>74.36</v>
      </c>
      <c r="J40" s="9">
        <f t="shared" si="1"/>
        <v>3.3740000000000001</v>
      </c>
      <c r="K40" s="9">
        <f t="shared" ref="K40:K42" si="8">_xlfn.STDEV.S(J5,J12,J19,J26,J33)</f>
        <v>1.2709366624659146</v>
      </c>
      <c r="L40" s="9">
        <f t="shared" ref="L40:L42" si="9">MIN(L5,L12,L19,L26,L33)</f>
        <v>0</v>
      </c>
      <c r="M40" s="9">
        <f t="shared" ref="M40:M42" si="10">MAX(M5,M12,M19,M26,M33)</f>
        <v>8.9499999999999993</v>
      </c>
      <c r="N40" s="9">
        <f t="shared" si="1"/>
        <v>59.972000000000001</v>
      </c>
      <c r="O40" s="9">
        <f t="shared" ref="O40:O42" si="11">_xlfn.STDEV.S(N5,N12,N19,N26,N33)</f>
        <v>4.4721359549986898E-3</v>
      </c>
      <c r="P40" s="9">
        <f t="shared" ref="P40:P42" si="12">MIN(P5,P12,P19,P26,P33)</f>
        <v>59</v>
      </c>
      <c r="Q40" s="9">
        <f t="shared" ref="Q40:Q42" si="13">MAX(Q5,Q12,Q19,Q26,Q33)</f>
        <v>60</v>
      </c>
    </row>
    <row r="41" spans="1:27" x14ac:dyDescent="0.3">
      <c r="A41" s="8" t="s">
        <v>11</v>
      </c>
      <c r="B41" s="9">
        <f t="shared" si="1"/>
        <v>84.222000000000008</v>
      </c>
      <c r="C41" s="9">
        <f t="shared" si="2"/>
        <v>2.088329475920883</v>
      </c>
      <c r="D41" s="9">
        <f t="shared" si="3"/>
        <v>53.3</v>
      </c>
      <c r="E41" s="9">
        <f t="shared" si="4"/>
        <v>156.9</v>
      </c>
      <c r="F41" s="9">
        <f t="shared" si="1"/>
        <v>125.324</v>
      </c>
      <c r="G41" s="9">
        <f t="shared" si="5"/>
        <v>5.2531828447142423</v>
      </c>
      <c r="H41" s="9">
        <f t="shared" si="6"/>
        <v>118</v>
      </c>
      <c r="I41" s="9">
        <f t="shared" si="7"/>
        <v>134.19999999999999</v>
      </c>
      <c r="J41" s="9">
        <f t="shared" si="1"/>
        <v>1.5</v>
      </c>
      <c r="K41" s="9">
        <f t="shared" si="8"/>
        <v>0.58889727457341823</v>
      </c>
      <c r="L41" s="9">
        <f t="shared" si="9"/>
        <v>0</v>
      </c>
      <c r="M41" s="9">
        <f t="shared" si="10"/>
        <v>5.7</v>
      </c>
      <c r="N41" s="9">
        <f t="shared" si="1"/>
        <v>59.846000000000004</v>
      </c>
      <c r="O41" s="9">
        <f t="shared" si="11"/>
        <v>5.412947441089723E-2</v>
      </c>
      <c r="P41" s="9">
        <f t="shared" si="12"/>
        <v>58</v>
      </c>
      <c r="Q41" s="9">
        <f t="shared" si="13"/>
        <v>60</v>
      </c>
    </row>
    <row r="42" spans="1:27" ht="16.2" thickBot="1" x14ac:dyDescent="0.35">
      <c r="A42" s="11" t="s">
        <v>172</v>
      </c>
      <c r="B42" s="9">
        <f t="shared" si="1"/>
        <v>97.418000000000006</v>
      </c>
      <c r="C42" s="9">
        <f t="shared" si="2"/>
        <v>3.9124825878206804</v>
      </c>
      <c r="D42" s="9">
        <f t="shared" si="3"/>
        <v>45</v>
      </c>
      <c r="E42" s="9">
        <f t="shared" si="4"/>
        <v>120.8</v>
      </c>
      <c r="F42" s="9">
        <f t="shared" si="1"/>
        <v>91.632000000000005</v>
      </c>
      <c r="G42" s="9">
        <f t="shared" si="5"/>
        <v>1.4506446842697229</v>
      </c>
      <c r="H42" s="9">
        <f t="shared" si="6"/>
        <v>83.89</v>
      </c>
      <c r="I42" s="9">
        <f t="shared" si="7"/>
        <v>101.61</v>
      </c>
      <c r="J42" s="9">
        <f t="shared" si="1"/>
        <v>7.7720000000000002</v>
      </c>
      <c r="K42" s="9">
        <f t="shared" si="8"/>
        <v>1.1624198897128344</v>
      </c>
      <c r="L42" s="9">
        <f t="shared" si="9"/>
        <v>1.17</v>
      </c>
      <c r="M42" s="9">
        <f t="shared" si="10"/>
        <v>17.079999999999998</v>
      </c>
      <c r="N42" s="9">
        <f t="shared" si="1"/>
        <v>59.655999999999992</v>
      </c>
      <c r="O42" s="9">
        <f t="shared" si="11"/>
        <v>3.5071355833501391E-2</v>
      </c>
      <c r="P42" s="9">
        <f t="shared" si="12"/>
        <v>57</v>
      </c>
      <c r="Q42" s="9">
        <f t="shared" si="13"/>
        <v>61</v>
      </c>
    </row>
    <row r="44" spans="1:27" x14ac:dyDescent="0.3">
      <c r="A44" s="20"/>
    </row>
  </sheetData>
  <mergeCells count="35">
    <mergeCell ref="A15:XFD15"/>
    <mergeCell ref="A22:XFD22"/>
    <mergeCell ref="A36:XFD36"/>
    <mergeCell ref="A29:XFD29"/>
    <mergeCell ref="A37:A38"/>
    <mergeCell ref="B37:E37"/>
    <mergeCell ref="F37:I37"/>
    <mergeCell ref="J37:M37"/>
    <mergeCell ref="N37:Q37"/>
    <mergeCell ref="A23:A24"/>
    <mergeCell ref="B23:E23"/>
    <mergeCell ref="F23:I23"/>
    <mergeCell ref="J23:M23"/>
    <mergeCell ref="N23:Q23"/>
    <mergeCell ref="A16:A17"/>
    <mergeCell ref="B16:E16"/>
    <mergeCell ref="N9:Q9"/>
    <mergeCell ref="B2:E2"/>
    <mergeCell ref="F2:I2"/>
    <mergeCell ref="J2:M2"/>
    <mergeCell ref="N2:Q2"/>
    <mergeCell ref="A8:XFD8"/>
    <mergeCell ref="A2:A3"/>
    <mergeCell ref="A9:A10"/>
    <mergeCell ref="B9:E9"/>
    <mergeCell ref="F9:I9"/>
    <mergeCell ref="J9:M9"/>
    <mergeCell ref="F16:I16"/>
    <mergeCell ref="J16:M16"/>
    <mergeCell ref="N16:Q16"/>
    <mergeCell ref="A30:A31"/>
    <mergeCell ref="B30:E30"/>
    <mergeCell ref="F30:I30"/>
    <mergeCell ref="J30:M30"/>
    <mergeCell ref="N30:Q30"/>
  </mergeCells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73D514CF0F6D6340A303CE60731DD813" ma:contentTypeVersion="17" ma:contentTypeDescription="Yeni belge oluşturun." ma:contentTypeScope="" ma:versionID="b50fd95ff54554e528155d8b2dc1ae61">
  <xsd:schema xmlns:xsd="http://www.w3.org/2001/XMLSchema" xmlns:xs="http://www.w3.org/2001/XMLSchema" xmlns:p="http://schemas.microsoft.com/office/2006/metadata/properties" xmlns:ns2="71dc92af-badd-4cd9-9541-fbeeb0980846" xmlns:ns3="f8d2c7f0-abbb-4073-9433-6d24ec7b9cbc" targetNamespace="http://schemas.microsoft.com/office/2006/metadata/properties" ma:root="true" ma:fieldsID="e3a7241f40bbca7bff1304ab94fd0da5" ns2:_="" ns3:_="">
    <xsd:import namespace="71dc92af-badd-4cd9-9541-fbeeb0980846"/>
    <xsd:import namespace="f8d2c7f0-abbb-4073-9433-6d24ec7b9c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c92af-badd-4cd9-9541-fbeeb0980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Resim Etiketleri" ma:readOnly="false" ma:fieldId="{5cf76f15-5ced-4ddc-b409-7134ff3c332f}" ma:taxonomyMulti="true" ma:sspId="25b86514-8e1d-4ede-91c0-90ec09b57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d2c7f0-abbb-4073-9433-6d24ec7b9cb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3eccff8-601d-4f5b-b2cb-da1fc06da483}" ma:internalName="TaxCatchAll" ma:showField="CatchAllData" ma:web="f8d2c7f0-abbb-4073-9433-6d24ec7b9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dc92af-badd-4cd9-9541-fbeeb0980846">
      <Terms xmlns="http://schemas.microsoft.com/office/infopath/2007/PartnerControls"/>
    </lcf76f155ced4ddcb4097134ff3c332f>
    <TaxCatchAll xmlns="f8d2c7f0-abbb-4073-9433-6d24ec7b9cbc" xsi:nil="true"/>
  </documentManagement>
</p:properties>
</file>

<file path=customXml/itemProps1.xml><?xml version="1.0" encoding="utf-8"?>
<ds:datastoreItem xmlns:ds="http://schemas.openxmlformats.org/officeDocument/2006/customXml" ds:itemID="{706B285D-6E1C-4B87-BBA2-415C74207F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612B2A-4AD3-47E3-AC26-2DC48F160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dc92af-badd-4cd9-9541-fbeeb0980846"/>
    <ds:schemaRef ds:uri="f8d2c7f0-abbb-4073-9433-6d24ec7b9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201471-7114-44FA-B26D-E728174AFF18}">
  <ds:schemaRefs>
    <ds:schemaRef ds:uri="http://schemas.microsoft.com/office/2006/metadata/properties"/>
    <ds:schemaRef ds:uri="http://schemas.microsoft.com/office/infopath/2007/PartnerControls"/>
    <ds:schemaRef ds:uri="71dc92af-badd-4cd9-9541-fbeeb0980846"/>
    <ds:schemaRef ds:uri="f8d2c7f0-abbb-4073-9433-6d24ec7b9cb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Video Test</vt:lpstr>
      <vt:lpstr>Audio Test</vt:lpstr>
      <vt:lpstr>Storage Write Test</vt:lpstr>
      <vt:lpstr>Storage Read Test</vt:lpstr>
      <vt:lpstr>Json Test</vt:lpstr>
      <vt:lpstr>Map Test</vt:lpstr>
      <vt:lpstr>List Test</vt:lpstr>
      <vt:lpstr>Sensor Test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2026-09-20T11:59:15Z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0x01010073D514CF0F6D6340A303CE60731DD813</vt:lpwstr>
  </property>
  <property fmtid="{D5CDD505-2E9C-101B-9397-08002B2CF9AE}" pid="3" name="MediaServiceImageTags">
    <vt:lpwstr/>
  </property>
</Properties>
</file>