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tabRatio="679"/>
  </bookViews>
  <sheets>
    <sheet name="Video Test" sheetId="9" r:id="rId1"/>
    <sheet name="Audio Test" sheetId="8" r:id="rId2"/>
    <sheet name="Storage Write Test" sheetId="7" r:id="rId3"/>
    <sheet name="Storage Read Test" sheetId="6" r:id="rId4"/>
    <sheet name="Json Test" sheetId="5" r:id="rId5"/>
    <sheet name="Map Test" sheetId="3" r:id="rId6"/>
    <sheet name="List Test" sheetId="4" r:id="rId7"/>
    <sheet name="Sensor Test" sheetId="1" r:id="rId8"/>
  </sheets>
  <calcPr calcId="152511"/>
</workbook>
</file>

<file path=xl/calcChain.xml><?xml version="1.0" encoding="utf-8"?>
<calcChain xmlns="http://schemas.openxmlformats.org/spreadsheetml/2006/main">
  <c r="O40" i="1" l="1"/>
  <c r="O41" i="1"/>
  <c r="O42" i="1"/>
  <c r="O39" i="1"/>
  <c r="K40" i="1"/>
  <c r="K41" i="1"/>
  <c r="K42" i="1"/>
  <c r="K39" i="1"/>
  <c r="G40" i="1"/>
  <c r="G41" i="1"/>
  <c r="G42" i="1"/>
  <c r="G39" i="1"/>
  <c r="C40" i="1"/>
  <c r="C41" i="1"/>
  <c r="C42" i="1"/>
  <c r="C39" i="1"/>
  <c r="O40" i="4"/>
  <c r="O41" i="4"/>
  <c r="O42" i="4"/>
  <c r="O39" i="4"/>
  <c r="K40" i="4"/>
  <c r="K41" i="4"/>
  <c r="K42" i="4"/>
  <c r="K39" i="4"/>
  <c r="G40" i="4"/>
  <c r="G41" i="4"/>
  <c r="G42" i="4"/>
  <c r="G39" i="4"/>
  <c r="C40" i="4"/>
  <c r="C41" i="4"/>
  <c r="C42" i="4"/>
  <c r="C39" i="4"/>
  <c r="O40" i="3"/>
  <c r="O41" i="3"/>
  <c r="O42" i="3"/>
  <c r="O39" i="3"/>
  <c r="K40" i="3"/>
  <c r="K41" i="3"/>
  <c r="K42" i="3"/>
  <c r="K39" i="3"/>
  <c r="G40" i="3"/>
  <c r="G41" i="3"/>
  <c r="G42" i="3"/>
  <c r="G39" i="3"/>
  <c r="C40" i="3"/>
  <c r="C41" i="3"/>
  <c r="C42" i="3"/>
  <c r="C39" i="3"/>
  <c r="O40" i="5"/>
  <c r="O41" i="5"/>
  <c r="O42" i="5"/>
  <c r="O39" i="5"/>
  <c r="C40" i="5"/>
  <c r="C41" i="5"/>
  <c r="C42" i="5"/>
  <c r="G40" i="5"/>
  <c r="G41" i="5"/>
  <c r="G42" i="5"/>
  <c r="K40" i="5"/>
  <c r="K41" i="5"/>
  <c r="K42" i="5"/>
  <c r="K39" i="5"/>
  <c r="G39" i="5"/>
  <c r="C39" i="5"/>
  <c r="B39" i="5"/>
  <c r="D39" i="5"/>
  <c r="E39" i="5"/>
  <c r="F39" i="5"/>
  <c r="H39" i="5"/>
  <c r="I39" i="5"/>
  <c r="J39" i="5"/>
  <c r="L39" i="5"/>
  <c r="M39" i="5"/>
  <c r="N39" i="5"/>
  <c r="P39" i="5"/>
  <c r="Q39" i="5"/>
  <c r="B40" i="5"/>
  <c r="D40" i="5"/>
  <c r="E40" i="5"/>
  <c r="F40" i="5"/>
  <c r="H40" i="5"/>
  <c r="I40" i="5"/>
  <c r="J40" i="5"/>
  <c r="L40" i="5"/>
  <c r="M40" i="5"/>
  <c r="N40" i="5"/>
  <c r="P40" i="5"/>
  <c r="Q40" i="5"/>
  <c r="B41" i="5"/>
  <c r="D41" i="5"/>
  <c r="E41" i="5"/>
  <c r="F41" i="5"/>
  <c r="H41" i="5"/>
  <c r="I41" i="5"/>
  <c r="J41" i="5"/>
  <c r="L41" i="5"/>
  <c r="M41" i="5"/>
  <c r="N41" i="5"/>
  <c r="P41" i="5"/>
  <c r="Q41" i="5"/>
  <c r="B42" i="5"/>
  <c r="D42" i="5"/>
  <c r="E42" i="5"/>
  <c r="F42" i="5"/>
  <c r="H42" i="5"/>
  <c r="I42" i="5"/>
  <c r="J42" i="5"/>
  <c r="L42" i="5"/>
  <c r="M42" i="5"/>
  <c r="N42" i="5"/>
  <c r="P42" i="5"/>
  <c r="Q42" i="5"/>
  <c r="O40" i="6"/>
  <c r="O41" i="6"/>
  <c r="O42" i="6"/>
  <c r="O39" i="6"/>
  <c r="K40" i="6"/>
  <c r="K41" i="6"/>
  <c r="K42" i="6"/>
  <c r="K39" i="6"/>
  <c r="G40" i="6"/>
  <c r="G41" i="6"/>
  <c r="G42" i="6"/>
  <c r="G39" i="6"/>
  <c r="C40" i="6"/>
  <c r="C41" i="6"/>
  <c r="C42" i="6"/>
  <c r="C39" i="6"/>
  <c r="B39" i="6" l="1"/>
  <c r="B39" i="1"/>
  <c r="D39" i="1"/>
  <c r="E39" i="1"/>
  <c r="F39" i="1"/>
  <c r="H39" i="1"/>
  <c r="I39" i="1"/>
  <c r="J39" i="1"/>
  <c r="L39" i="1"/>
  <c r="M39" i="1"/>
  <c r="N39" i="1"/>
  <c r="P39" i="1"/>
  <c r="Q39" i="1"/>
  <c r="B40" i="1"/>
  <c r="D40" i="1"/>
  <c r="E40" i="1"/>
  <c r="F40" i="1"/>
  <c r="H40" i="1"/>
  <c r="I40" i="1"/>
  <c r="J40" i="1"/>
  <c r="L40" i="1"/>
  <c r="M40" i="1"/>
  <c r="N40" i="1"/>
  <c r="P40" i="1"/>
  <c r="Q40" i="1"/>
  <c r="B41" i="1"/>
  <c r="D41" i="1"/>
  <c r="E41" i="1"/>
  <c r="F41" i="1"/>
  <c r="H41" i="1"/>
  <c r="I41" i="1"/>
  <c r="J41" i="1"/>
  <c r="L41" i="1"/>
  <c r="M41" i="1"/>
  <c r="N41" i="1"/>
  <c r="P41" i="1"/>
  <c r="Q41" i="1"/>
  <c r="B42" i="1"/>
  <c r="D42" i="1"/>
  <c r="E42" i="1"/>
  <c r="F42" i="1"/>
  <c r="H42" i="1"/>
  <c r="I42" i="1"/>
  <c r="J42" i="1"/>
  <c r="L42" i="1"/>
  <c r="M42" i="1"/>
  <c r="N42" i="1"/>
  <c r="P42" i="1"/>
  <c r="Q42" i="1"/>
  <c r="B39" i="4"/>
  <c r="D39" i="4"/>
  <c r="E39" i="4"/>
  <c r="F39" i="4"/>
  <c r="H39" i="4"/>
  <c r="I39" i="4"/>
  <c r="J39" i="4"/>
  <c r="L39" i="4"/>
  <c r="M39" i="4"/>
  <c r="N39" i="4"/>
  <c r="P39" i="4"/>
  <c r="Q39" i="4"/>
  <c r="B40" i="4"/>
  <c r="D40" i="4"/>
  <c r="E40" i="4"/>
  <c r="F40" i="4"/>
  <c r="H40" i="4"/>
  <c r="I40" i="4"/>
  <c r="J40" i="4"/>
  <c r="L40" i="4"/>
  <c r="M40" i="4"/>
  <c r="N40" i="4"/>
  <c r="P40" i="4"/>
  <c r="Q40" i="4"/>
  <c r="B41" i="4"/>
  <c r="D41" i="4"/>
  <c r="E41" i="4"/>
  <c r="F41" i="4"/>
  <c r="H41" i="4"/>
  <c r="I41" i="4"/>
  <c r="J41" i="4"/>
  <c r="L41" i="4"/>
  <c r="M41" i="4"/>
  <c r="N41" i="4"/>
  <c r="P41" i="4"/>
  <c r="Q41" i="4"/>
  <c r="B42" i="4"/>
  <c r="D42" i="4"/>
  <c r="E42" i="4"/>
  <c r="F42" i="4"/>
  <c r="H42" i="4"/>
  <c r="I42" i="4"/>
  <c r="J42" i="4"/>
  <c r="L42" i="4"/>
  <c r="M42" i="4"/>
  <c r="N42" i="4"/>
  <c r="P42" i="4"/>
  <c r="Q42" i="4"/>
  <c r="B39" i="3"/>
  <c r="D39" i="3"/>
  <c r="E39" i="3"/>
  <c r="F39" i="3"/>
  <c r="H39" i="3"/>
  <c r="I39" i="3"/>
  <c r="J39" i="3"/>
  <c r="L39" i="3"/>
  <c r="M39" i="3"/>
  <c r="N39" i="3"/>
  <c r="P39" i="3"/>
  <c r="Q39" i="3"/>
  <c r="B40" i="3"/>
  <c r="D40" i="3"/>
  <c r="E40" i="3"/>
  <c r="F40" i="3"/>
  <c r="H40" i="3"/>
  <c r="I40" i="3"/>
  <c r="J40" i="3"/>
  <c r="L40" i="3"/>
  <c r="M40" i="3"/>
  <c r="N40" i="3"/>
  <c r="P40" i="3"/>
  <c r="Q40" i="3"/>
  <c r="B41" i="3"/>
  <c r="D41" i="3"/>
  <c r="E41" i="3"/>
  <c r="F41" i="3"/>
  <c r="H41" i="3"/>
  <c r="I41" i="3"/>
  <c r="J41" i="3"/>
  <c r="L41" i="3"/>
  <c r="M41" i="3"/>
  <c r="N41" i="3"/>
  <c r="P41" i="3"/>
  <c r="Q41" i="3"/>
  <c r="B42" i="3"/>
  <c r="D42" i="3"/>
  <c r="E42" i="3"/>
  <c r="F42" i="3"/>
  <c r="H42" i="3"/>
  <c r="I42" i="3"/>
  <c r="J42" i="3"/>
  <c r="L42" i="3"/>
  <c r="M42" i="3"/>
  <c r="N42" i="3"/>
  <c r="P42" i="3"/>
  <c r="Q42" i="3"/>
  <c r="D39" i="6"/>
  <c r="E39" i="6"/>
  <c r="F39" i="6"/>
  <c r="H39" i="6"/>
  <c r="I39" i="6"/>
  <c r="J39" i="6"/>
  <c r="L39" i="6"/>
  <c r="M39" i="6"/>
  <c r="N39" i="6"/>
  <c r="P39" i="6"/>
  <c r="Q39" i="6"/>
  <c r="B40" i="6"/>
  <c r="D40" i="6"/>
  <c r="E40" i="6"/>
  <c r="F40" i="6"/>
  <c r="H40" i="6"/>
  <c r="I40" i="6"/>
  <c r="J40" i="6"/>
  <c r="L40" i="6"/>
  <c r="M40" i="6"/>
  <c r="N40" i="6"/>
  <c r="P40" i="6"/>
  <c r="Q40" i="6"/>
  <c r="B41" i="6"/>
  <c r="D41" i="6"/>
  <c r="E41" i="6"/>
  <c r="F41" i="6"/>
  <c r="H41" i="6"/>
  <c r="I41" i="6"/>
  <c r="J41" i="6"/>
  <c r="L41" i="6"/>
  <c r="M41" i="6"/>
  <c r="N41" i="6"/>
  <c r="P41" i="6"/>
  <c r="Q41" i="6"/>
  <c r="B42" i="6"/>
  <c r="D42" i="6"/>
  <c r="E42" i="6"/>
  <c r="F42" i="6"/>
  <c r="H42" i="6"/>
  <c r="I42" i="6"/>
  <c r="J42" i="6"/>
  <c r="L42" i="6"/>
  <c r="M42" i="6"/>
  <c r="N42" i="6"/>
  <c r="P42" i="6"/>
  <c r="Q42" i="6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O40" i="8"/>
  <c r="O41" i="8"/>
  <c r="O42" i="8"/>
  <c r="O39" i="8"/>
  <c r="K40" i="8"/>
  <c r="K41" i="8"/>
  <c r="K42" i="8"/>
  <c r="K39" i="8"/>
  <c r="G40" i="8"/>
  <c r="G41" i="8"/>
  <c r="G42" i="8"/>
  <c r="G39" i="8"/>
  <c r="C40" i="8"/>
  <c r="C41" i="8"/>
  <c r="C42" i="8"/>
  <c r="C39" i="8"/>
  <c r="B39" i="8"/>
  <c r="D39" i="8"/>
  <c r="E39" i="8"/>
  <c r="F39" i="8"/>
  <c r="H39" i="8"/>
  <c r="I39" i="8"/>
  <c r="J39" i="8"/>
  <c r="L39" i="8"/>
  <c r="M39" i="8"/>
  <c r="N39" i="8"/>
  <c r="P39" i="8"/>
  <c r="Q39" i="8"/>
  <c r="B40" i="8"/>
  <c r="D40" i="8"/>
  <c r="E40" i="8"/>
  <c r="F40" i="8"/>
  <c r="H40" i="8"/>
  <c r="I40" i="8"/>
  <c r="J40" i="8"/>
  <c r="L40" i="8"/>
  <c r="M40" i="8"/>
  <c r="N40" i="8"/>
  <c r="P40" i="8"/>
  <c r="Q40" i="8"/>
  <c r="B41" i="8"/>
  <c r="D41" i="8"/>
  <c r="E41" i="8"/>
  <c r="F41" i="8"/>
  <c r="H41" i="8"/>
  <c r="I41" i="8"/>
  <c r="J41" i="8"/>
  <c r="L41" i="8"/>
  <c r="M41" i="8"/>
  <c r="N41" i="8"/>
  <c r="P41" i="8"/>
  <c r="Q41" i="8"/>
  <c r="B42" i="8"/>
  <c r="D42" i="8"/>
  <c r="E42" i="8"/>
  <c r="F42" i="8"/>
  <c r="H42" i="8"/>
  <c r="I42" i="8"/>
  <c r="J42" i="8"/>
  <c r="L42" i="8"/>
  <c r="M42" i="8"/>
  <c r="N42" i="8"/>
  <c r="P42" i="8"/>
  <c r="Q42" i="8"/>
  <c r="O40" i="9"/>
  <c r="O41" i="9"/>
  <c r="O42" i="9"/>
  <c r="O39" i="9"/>
  <c r="K40" i="9"/>
  <c r="K41" i="9"/>
  <c r="K42" i="9"/>
  <c r="K39" i="9"/>
  <c r="G40" i="9"/>
  <c r="G41" i="9"/>
  <c r="G42" i="9"/>
  <c r="G39" i="9"/>
  <c r="C40" i="9"/>
  <c r="C41" i="9"/>
  <c r="C42" i="9"/>
  <c r="C39" i="9"/>
  <c r="F40" i="9" l="1"/>
  <c r="F41" i="9"/>
  <c r="F42" i="9"/>
  <c r="F39" i="9"/>
  <c r="D40" i="9"/>
  <c r="D41" i="9"/>
  <c r="D42" i="9"/>
  <c r="E40" i="9"/>
  <c r="E41" i="9"/>
  <c r="E42" i="9"/>
  <c r="H40" i="9"/>
  <c r="H41" i="9"/>
  <c r="H42" i="9"/>
  <c r="I40" i="9"/>
  <c r="I41" i="9"/>
  <c r="I42" i="9"/>
  <c r="L40" i="9"/>
  <c r="L41" i="9"/>
  <c r="L42" i="9"/>
  <c r="M40" i="9"/>
  <c r="M41" i="9"/>
  <c r="M42" i="9"/>
  <c r="P40" i="9"/>
  <c r="P41" i="9"/>
  <c r="P42" i="9"/>
  <c r="Q40" i="9"/>
  <c r="Q41" i="9"/>
  <c r="Q42" i="9"/>
  <c r="Q39" i="9"/>
  <c r="P39" i="9"/>
  <c r="M39" i="9"/>
  <c r="L39" i="9"/>
  <c r="I39" i="9"/>
  <c r="H39" i="9"/>
  <c r="E39" i="9"/>
  <c r="D39" i="9"/>
  <c r="R42" i="5" l="1"/>
  <c r="R41" i="5"/>
  <c r="R40" i="5"/>
  <c r="R39" i="5"/>
  <c r="R42" i="6"/>
  <c r="R41" i="6"/>
  <c r="R40" i="6"/>
  <c r="R39" i="6"/>
  <c r="R42" i="7"/>
  <c r="R41" i="7"/>
  <c r="R40" i="7"/>
  <c r="R39" i="7"/>
  <c r="N41" i="9" l="1"/>
  <c r="N42" i="9"/>
  <c r="J40" i="9"/>
  <c r="J41" i="9"/>
  <c r="J42" i="9"/>
  <c r="B40" i="9"/>
  <c r="B41" i="9"/>
  <c r="B42" i="9"/>
  <c r="J39" i="9"/>
  <c r="N39" i="9"/>
  <c r="N40" i="9"/>
  <c r="B39" i="9"/>
</calcChain>
</file>

<file path=xl/sharedStrings.xml><?xml version="1.0" encoding="utf-8"?>
<sst xmlns="http://schemas.openxmlformats.org/spreadsheetml/2006/main" count="1347" uniqueCount="179">
  <si>
    <t>CPU</t>
  </si>
  <si>
    <t>RAW_RAM</t>
  </si>
  <si>
    <t>NET RAM</t>
  </si>
  <si>
    <t>FPS</t>
  </si>
  <si>
    <t>avg</t>
  </si>
  <si>
    <t>stde</t>
  </si>
  <si>
    <t>min</t>
  </si>
  <si>
    <t>max</t>
  </si>
  <si>
    <t>KMP</t>
  </si>
  <si>
    <t>FLUTTER</t>
  </si>
  <si>
    <t>Video_FullScreen_Native_Complete_1776076592</t>
  </si>
  <si>
    <t>Video_FullScreen_KMP_Complete_1776686858.csv</t>
  </si>
  <si>
    <t>Video_FullScreen_Native_Complete_1776776088.csv</t>
  </si>
  <si>
    <t>Video_FullScreen_KMP_Complete_1776770809.csv</t>
  </si>
  <si>
    <t>Video_FullScreen_Native_Complete_1776251737.csv</t>
  </si>
  <si>
    <t>Video_FullScreen_Native_Complete_1776258076.csv</t>
  </si>
  <si>
    <t>Audio_Native_1776074569</t>
  </si>
  <si>
    <t>Audio_KMP_Complete_1776687203.csv</t>
  </si>
  <si>
    <t>Audio_Native_1776174305.csv</t>
  </si>
  <si>
    <t>Audio_KMP_Complete_1776780337.csv</t>
  </si>
  <si>
    <t>Audio_Native_1776258562</t>
  </si>
  <si>
    <t>Audio_Native_1776258902</t>
  </si>
  <si>
    <t>Audio_Native_1776260317</t>
  </si>
  <si>
    <t>Storage_Write_Native_2GB_1776073611</t>
  </si>
  <si>
    <t>Storage_Write_KMP_2GB_1776079343.csv</t>
  </si>
  <si>
    <t>Storage_Write_Native_2GB_1776776247.csv</t>
  </si>
  <si>
    <t>Storage_Write_KMP_2GB_1776766265.csv</t>
  </si>
  <si>
    <t>17,,70</t>
  </si>
  <si>
    <t>Storage_Write_Native_2GB_1776777421.csv</t>
  </si>
  <si>
    <t>Storage_Write_KMP_2GB_1776771257.csv</t>
  </si>
  <si>
    <t>Storage_Read_Native_2GB_1776073641</t>
  </si>
  <si>
    <t>Storage_Read_Native_2GB_1776776270.csv</t>
  </si>
  <si>
    <t>Storage_Read_KMP_2GB_1776766272.csv</t>
  </si>
  <si>
    <t>Storage_Read_Native_2GB_1776777431.csv</t>
  </si>
  <si>
    <t>Storage_Read_KMP_2GB_1776771265.csv</t>
  </si>
  <si>
    <t>JSON_Benchmark_Native_1776088510</t>
  </si>
  <si>
    <t>JSON_Benchmark_KMP_1776687399.csv</t>
  </si>
  <si>
    <t>JSON_Benchmark_Native_1776776315.csv</t>
  </si>
  <si>
    <t>JSON_Benchmark_KMP_1776766311.csv</t>
  </si>
  <si>
    <t>JSON_Benchmark_Native_1776777469.csv</t>
  </si>
  <si>
    <t>JSON_Benchmark_KMP_1776771305.csv</t>
  </si>
  <si>
    <t>Map_Optimized_Tour_Native_1776259673.csv</t>
  </si>
  <si>
    <t>Map_Optimized_Tour_KMP_1776771477.csv</t>
  </si>
  <si>
    <t>Ecommerce_Fluent_Test_Native_1776074076.csv</t>
  </si>
  <si>
    <t>Ecommerce_Fluent_Test_KMP_1776687769.csv</t>
  </si>
  <si>
    <t>Ecommerce_Fluent_Test_Native_1776776657.csv</t>
  </si>
  <si>
    <t>Ecommerce_Fluent_Test_KMP_1776766585.csv</t>
  </si>
  <si>
    <t>Ecommerce_Fluent_Test_Native_1776777736.csv</t>
  </si>
  <si>
    <t>Ecommerce_Fluent_Test_KMP_1776771679.csv</t>
  </si>
  <si>
    <t>Sensor_Native_Stress_Test_100Hz_1776074158</t>
  </si>
  <si>
    <t>Sensor_KMP_Stress_100Hz_1776687850.csv</t>
  </si>
  <si>
    <t>Sensor_Native_Stress_Test_100Hz_1776172672.csv</t>
  </si>
  <si>
    <t>Sensor_Native_Stress_Test_100Hz_1776173019.csv</t>
  </si>
  <si>
    <t>Sensor_KMP_Stress_100Hz_1776173099.csv</t>
  </si>
  <si>
    <t>Audio_KMP_Complete_1776771227</t>
  </si>
  <si>
    <t>Storage_Write_Native_2GB_1776779999</t>
  </si>
  <si>
    <t>Storage_Read_Native_2GB_1776780007</t>
  </si>
  <si>
    <t>JSON_Benchmark_Native_1776778221</t>
  </si>
  <si>
    <t>Map_Optimized_Tour_Native_1776776459</t>
  </si>
  <si>
    <t>Ecommerce_Fluent_Test_Native_1776778638</t>
  </si>
  <si>
    <t>Sensor_Native_Stress_Test_100Hz_1776173428</t>
  </si>
  <si>
    <t>Audio_KMP_Complete_1776773175</t>
  </si>
  <si>
    <t>Storage_Write_KMP_2GB_1776773201</t>
  </si>
  <si>
    <t>JSON_Benchmark_KMP_1776773251</t>
  </si>
  <si>
    <t>Map_Optimized_Tour_KMP_1776773398</t>
  </si>
  <si>
    <t>Ecommerce_Fluent_Test_KMP_1776773572</t>
  </si>
  <si>
    <t>Sensor_KMP_Stress_100Hz_1776773677</t>
  </si>
  <si>
    <t>Storage_Write_Native_2GB_1776779555</t>
  </si>
  <si>
    <t>Storage_Read_Native_2GB_1776779568</t>
  </si>
  <si>
    <t>JSON_Benchmark_Native_1776779663</t>
  </si>
  <si>
    <t>Ecommerce_Fluent_Test_Native_1776779814</t>
  </si>
  <si>
    <t>Sensor_Native_Stress_Test_100Hz_1776177053</t>
  </si>
  <si>
    <t>Sensor_KMP_Stress_100Hz_1776775140</t>
  </si>
  <si>
    <t>Ecommerce_Fluent_Test_KMP_1776775035</t>
  </si>
  <si>
    <t>Map_Optimized_Tour_KMP_1776774881</t>
  </si>
  <si>
    <t>JSON_Benchmark_KMP_1776774747</t>
  </si>
  <si>
    <t>Storage_Write_KMP_2GB_1776774700</t>
  </si>
  <si>
    <t>Storage_Read_KMP_2GB_1776774709</t>
  </si>
  <si>
    <t>Audio_Flutter_Complete_1776785267</t>
  </si>
  <si>
    <t>Video_FullScreen_Flutter_ManualExport_1776784930</t>
  </si>
  <si>
    <t>Storage_Write_Flutter_2GB_1776785355</t>
  </si>
  <si>
    <t>JSON_Benchmark_Flutter_RamCached_1776785442</t>
  </si>
  <si>
    <t>Ecommerce_Fluent_Test_Flutter_1776785769</t>
  </si>
  <si>
    <t>Storage_Read_KMP_2GB_1776857600</t>
  </si>
  <si>
    <t>Audio_KMP_Complete_1776857933</t>
  </si>
  <si>
    <t>Sensor_KMP_Stress_100Hz_1776092761</t>
  </si>
  <si>
    <t>Video_FullScreen_KMP_Complete_1776858807.csv</t>
  </si>
  <si>
    <t>Video_FullScreen_KMP_Complete_1776772846.csv</t>
  </si>
  <si>
    <t>Video_FullScreen_KMP_Complete_1776774351.csv</t>
  </si>
  <si>
    <t>Video_FullScreen_Flutter_ManualExport_1776860276</t>
  </si>
  <si>
    <t>Audio_Flutter_Complete_1776860607</t>
  </si>
  <si>
    <t>Storage_Write_Flutter_2GB_1776858871</t>
  </si>
  <si>
    <t>Storage_Read_Flutter_2GB_1776858883</t>
  </si>
  <si>
    <t>JSON_Benchmark_Flutter_RamCached_1776860773.csv</t>
  </si>
  <si>
    <t>Ecommerce_Fluent_Test_Flutter_1776861338.csv</t>
  </si>
  <si>
    <t>Sensor_Flutter_Stress_100Hz_1776858964.csv</t>
  </si>
  <si>
    <t>Video_FullScreen_Flutter_ManualExport_1776862183.csv</t>
  </si>
  <si>
    <t>Audio_Flutter_Complete_1776862525.csv</t>
  </si>
  <si>
    <t>Sensor_Flutter_Stress_100Hz_1776861499.csv</t>
  </si>
  <si>
    <t>Video_FullScreen_Native_Complete_1776252543.csv</t>
  </si>
  <si>
    <t>Storage_Read_Flutter_2GB_1777291396.csv</t>
  </si>
  <si>
    <t>Storage_Read_Flutter_2GB_1777366797.csv</t>
  </si>
  <si>
    <t>JSON_Benchmark_Flutter_RamCached_1777297081.csv</t>
  </si>
  <si>
    <t>Ecommerce_Fluent_Test_Flutter_1777297345.csv</t>
  </si>
  <si>
    <t>Video_FullScreen_Flutter_ManualExport_1777298148.csv</t>
  </si>
  <si>
    <t>Storage_Write_Flutter_2GB_1777298681.csv</t>
  </si>
  <si>
    <t>JSON_Benchmark_Flutter_RamCached_1777298762.csv</t>
  </si>
  <si>
    <t>Audio_Flutter_Complete_1777370932.csv</t>
  </si>
  <si>
    <t>Ecommerce_Fluent_Test_Flutter_1777365250.cs</t>
  </si>
  <si>
    <t>Video_FullScreen_Flutter_ManualExport_1777366370.csv</t>
  </si>
  <si>
    <t>Audio_Flutter_Complete_1777366728.csv</t>
  </si>
  <si>
    <t>Storage_Read_Flutter_2GB_1777366831.csv</t>
  </si>
  <si>
    <t>JSON_Benchmark_Flutter_RamCached_1777366883.csv</t>
  </si>
  <si>
    <t>Ecommerce_Fluent_Test_Flutter_1777367159.csv</t>
  </si>
  <si>
    <t>Sensor_Flutter_Stress_100Hz_1777367250.csv</t>
  </si>
  <si>
    <t>Sensor_Flutter_Stress_100Hz_1777371520.csv</t>
  </si>
  <si>
    <t>Video_ReactNative_Component_Partial_1777458305.csv</t>
  </si>
  <si>
    <t>Audio_RN_Complete_1777458658.csv</t>
  </si>
  <si>
    <t>Storage_RN_Write_2GB_1777458698.csv</t>
  </si>
  <si>
    <t>Storage_RN_Read_2GB_1777458718.csv</t>
  </si>
  <si>
    <t>JSON_Benchmark_ReactNative_1777458809.csv</t>
  </si>
  <si>
    <t>Map_RN_Optimized_Tour_1777458951.csv</t>
  </si>
  <si>
    <t>Ecommerce_RN_Test_FlashList_1777459132.csv</t>
  </si>
  <si>
    <t>Sensor_RN_Stress_100Hz_1777459234.csv</t>
  </si>
  <si>
    <t>Video_ReactNative_Component_Partial_1777466479.csv</t>
  </si>
  <si>
    <t>Audio_RN_Complete_1777466827.csv</t>
  </si>
  <si>
    <t>Storage_RN_Write_2GB_1777466882.csv</t>
  </si>
  <si>
    <t>Storage_RN_Read_2GB_1777466911.csv</t>
  </si>
  <si>
    <t>JSON_Benchmark_ReactNative_1777467027.csv</t>
  </si>
  <si>
    <t>Map_RN_Optimized_Tour_1777467166.csv</t>
  </si>
  <si>
    <t>Ecommerce_RN_Test_FlashList_1777467324.csv</t>
  </si>
  <si>
    <t>Sensor_RN_Stress_100Hz_1777467402.csv</t>
  </si>
  <si>
    <t>Video_ReactNative_Component_Partial_1777468103.csv</t>
  </si>
  <si>
    <t>Audio_RN_Complete_1777468500.csv</t>
  </si>
  <si>
    <t>Storage_RN_Write_2GB_1777468530.csv</t>
  </si>
  <si>
    <t>Storage_RN_Read_2GB_1777468556.csv</t>
  </si>
  <si>
    <t>JSON_Benchmark_ReactNative_1777468637.csv</t>
  </si>
  <si>
    <t>Map_RN_Optimized_Tour_1777468789.csv</t>
  </si>
  <si>
    <t>Sensor_RN_Stress_100Hz_1777470367.csv</t>
  </si>
  <si>
    <t>Video_ReactNative_Component_Partial_1777474176.csv</t>
  </si>
  <si>
    <t>Audio_RN_Complete_1777474522.csv</t>
  </si>
  <si>
    <t>Storage_RN_Write_2GB_1777474569.csv</t>
  </si>
  <si>
    <t>Storage_RN_Read_2GB_1777474580.csv</t>
  </si>
  <si>
    <t>JSON_Benchmark_ReactNative_1777474652.csv</t>
  </si>
  <si>
    <t>Map_RN_Optimized_Tour_1777474952.csv</t>
  </si>
  <si>
    <t>Ecommerce_RN_Test_FlashList_1777475098.csv</t>
  </si>
  <si>
    <t>Sensor_RN_Stress_100Hz_1777475184.csv</t>
  </si>
  <si>
    <t>Video_ReactNative_Component_Partial_1777482130.csv</t>
  </si>
  <si>
    <t>Audio_RN_Complete_1777483070.csv</t>
  </si>
  <si>
    <t>Storage_RN_Write_2GB_1777475208.csv</t>
  </si>
  <si>
    <t>Storage_RN_Read_2GB_1777475222.csv</t>
  </si>
  <si>
    <t>JSON_Benchmark_ReactNative_1777475315.csv</t>
  </si>
  <si>
    <t>Map_RN_Optimized_Tour_1777475451.csv</t>
  </si>
  <si>
    <t>Ecommerce_RN_Test_FlashList_1777475602.csv</t>
  </si>
  <si>
    <t>Sensor_RN_Stress_100Hz_1777475704.csv</t>
  </si>
  <si>
    <t>Map_Optimized_Tour_KMP_1777539150.csv</t>
  </si>
  <si>
    <t>Map_Optimized_Tour_KMP_1777538823.csv</t>
  </si>
  <si>
    <t>Storage_Read_KMP_2GB_1777538556.csv</t>
  </si>
  <si>
    <t>Map_Optimized_Tour_Native_1777536217.csv</t>
  </si>
  <si>
    <t>Map_Optimized_Tour_Native_1777538074.csv</t>
  </si>
  <si>
    <t>Map_Optimized_Tour_Native_1777536901.csv</t>
  </si>
  <si>
    <t>Sensor_Flutter_Stress_100Hz_1777541200.csv</t>
  </si>
  <si>
    <t>Storage_Read_Flutter_2GB_1777540408.csv</t>
  </si>
  <si>
    <t>Storage_Write_Flutter_2GB_1777540487.csv</t>
  </si>
  <si>
    <t>Storage_Write_Flutter_2GB_1777540433.csv</t>
  </si>
  <si>
    <t>Ecommerce_RN_Test_FlashList_1777537101.csv</t>
  </si>
  <si>
    <t>Map_Optimized_Tour_Flutter_1777540767.csv</t>
  </si>
  <si>
    <t>Map_Optimized_Tour_Flutter_1777543434.csv</t>
  </si>
  <si>
    <t>Map_Optimized_Tour_Flutter_1777543611.csv</t>
  </si>
  <si>
    <t>Map_Optimized_Tour_flutter_1777543305.csv</t>
  </si>
  <si>
    <t>Map_Optimized_Tour_Flutter_1777540266.csv</t>
  </si>
  <si>
    <t>Completion Time</t>
  </si>
  <si>
    <t>tstde</t>
  </si>
  <si>
    <t>Average Write Time (s)</t>
  </si>
  <si>
    <t>Total (s)</t>
  </si>
  <si>
    <t>Average Read Time (s)</t>
  </si>
  <si>
    <t>Average Completion Time (s)</t>
  </si>
  <si>
    <t>NATIVE</t>
  </si>
  <si>
    <t>REACT 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</si>
</sst>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rgb="FF242424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sz val="12"/>
      <color theme="1"/>
      <name val="Times New Roman"/>
      <family val="1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69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 wrapText="1"/>
    </xf>
    <xf numFmtId="2" fontId="1" fillId="3" borderId="12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2" fontId="2" fillId="3" borderId="9" xfId="0" applyNumberFormat="1" applyFont="1" applyFill="1" applyBorder="1" applyAlignment="1">
      <alignment horizontal="center" vertical="center"/>
    </xf>
    <xf numFmtId="2" fontId="2" fillId="3" borderId="14" xfId="0" applyNumberFormat="1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left" vertical="center"/>
    </xf>
    <xf numFmtId="2" fontId="2" fillId="3" borderId="15" xfId="0" applyNumberFormat="1" applyFont="1" applyFill="1" applyBorder="1" applyAlignment="1">
      <alignment horizontal="center" vertical="center"/>
    </xf>
    <xf numFmtId="2" fontId="1" fillId="3" borderId="15" xfId="0" applyNumberFormat="1" applyFont="1" applyFill="1" applyBorder="1" applyAlignment="1">
      <alignment horizontal="left" vertical="center"/>
    </xf>
    <xf numFmtId="2" fontId="1" fillId="3" borderId="15" xfId="0" applyNumberFormat="1" applyFont="1" applyFill="1" applyBorder="1" applyAlignment="1">
      <alignment horizontal="center" vertical="center"/>
    </xf>
    <xf numFmtId="2" fontId="1" fillId="3" borderId="15" xfId="0" applyNumberFormat="1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3" borderId="16" xfId="0" applyNumberFormat="1" applyFont="1" applyFill="1" applyBorder="1" applyAlignment="1">
      <alignment horizontal="center" vertical="center" wrapText="1"/>
    </xf>
    <xf numFmtId="2" fontId="1" fillId="3" borderId="16" xfId="0" applyNumberFormat="1" applyFont="1" applyFill="1" applyBorder="1" applyAlignment="1">
      <alignment horizontal="left" vertical="center" wrapText="1"/>
    </xf>
    <xf numFmtId="2" fontId="1" fillId="3" borderId="15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left" vertical="center"/>
    </xf>
    <xf numFmtId="2" fontId="6" fillId="0" borderId="7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 wrapText="1"/>
    </xf>
    <xf numFmtId="2" fontId="1" fillId="0" borderId="22" xfId="0" applyNumberFormat="1" applyFont="1" applyBorder="1" applyAlignment="1">
      <alignment vertical="center"/>
    </xf>
    <xf numFmtId="2" fontId="1" fillId="0" borderId="23" xfId="0" applyNumberFormat="1" applyFont="1" applyBorder="1" applyAlignment="1">
      <alignment vertical="center"/>
    </xf>
    <xf numFmtId="2" fontId="6" fillId="2" borderId="1" xfId="0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6" fillId="3" borderId="12" xfId="0" applyNumberFormat="1" applyFont="1" applyFill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left" vertical="center"/>
    </xf>
    <xf numFmtId="2" fontId="1" fillId="0" borderId="24" xfId="0" applyNumberFormat="1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left" vertical="center" wrapText="1"/>
    </xf>
    <xf numFmtId="2" fontId="2" fillId="3" borderId="3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/>
    </xf>
    <xf numFmtId="2" fontId="6" fillId="3" borderId="3" xfId="0" applyNumberFormat="1" applyFont="1" applyFill="1" applyBorder="1" applyAlignment="1">
      <alignment horizontal="center"/>
    </xf>
    <xf numFmtId="2" fontId="6" fillId="3" borderId="0" xfId="0" applyNumberFormat="1" applyFont="1" applyFill="1" applyAlignment="1">
      <alignment horizontal="center"/>
    </xf>
    <xf numFmtId="2" fontId="1" fillId="3" borderId="38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left" vertical="center"/>
    </xf>
    <xf numFmtId="2" fontId="2" fillId="5" borderId="7" xfId="0" applyNumberFormat="1" applyFont="1" applyFill="1" applyBorder="1" applyAlignment="1">
      <alignment horizontal="center" vertical="center"/>
    </xf>
    <xf numFmtId="2" fontId="2" fillId="5" borderId="30" xfId="0" applyNumberFormat="1" applyFont="1" applyFill="1" applyBorder="1" applyAlignment="1">
      <alignment horizontal="center" vertical="center"/>
    </xf>
    <xf numFmtId="2" fontId="2" fillId="0" borderId="9" xfId="0" applyNumberFormat="1" applyFont="1" applyBorder="1" applyAlignment="1">
      <alignment horizontal="left" vertical="center"/>
    </xf>
    <xf numFmtId="2" fontId="2" fillId="0" borderId="9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left" vertical="center"/>
    </xf>
    <xf numFmtId="2" fontId="1" fillId="0" borderId="12" xfId="0" applyNumberFormat="1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left" vertical="center"/>
    </xf>
    <xf numFmtId="2" fontId="1" fillId="2" borderId="12" xfId="0" applyNumberFormat="1" applyFont="1" applyFill="1" applyBorder="1" applyAlignment="1">
      <alignment horizontal="center" vertical="center" wrapText="1"/>
    </xf>
    <xf numFmtId="2" fontId="1" fillId="2" borderId="12" xfId="0" applyNumberFormat="1" applyFont="1" applyFill="1" applyBorder="1" applyAlignment="1">
      <alignment horizontal="center" vertical="center"/>
    </xf>
    <xf numFmtId="2" fontId="6" fillId="0" borderId="6" xfId="0" applyNumberFormat="1" applyFont="1" applyFill="1" applyBorder="1" applyAlignment="1">
      <alignment horizontal="center" vertical="center"/>
    </xf>
    <xf numFmtId="2" fontId="3" fillId="3" borderId="9" xfId="0" applyNumberFormat="1" applyFont="1" applyFill="1" applyBorder="1" applyAlignment="1">
      <alignment horizontal="left" vertical="center"/>
    </xf>
    <xf numFmtId="2" fontId="3" fillId="3" borderId="9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center" vertical="center" wrapText="1"/>
    </xf>
    <xf numFmtId="2" fontId="6" fillId="3" borderId="12" xfId="0" applyNumberFormat="1" applyFont="1" applyFill="1" applyBorder="1" applyAlignment="1">
      <alignment horizontal="center" vertical="center" wrapText="1"/>
    </xf>
    <xf numFmtId="2" fontId="6" fillId="3" borderId="12" xfId="0" applyNumberFormat="1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left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left" vertical="center"/>
    </xf>
    <xf numFmtId="2" fontId="6" fillId="3" borderId="12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left" vertical="center" wrapText="1"/>
    </xf>
    <xf numFmtId="2" fontId="6" fillId="0" borderId="7" xfId="0" applyNumberFormat="1" applyFont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2" fontId="6" fillId="0" borderId="6" xfId="0" applyNumberFormat="1" applyFont="1" applyFill="1" applyBorder="1" applyAlignment="1">
      <alignment horizontal="left" vertical="center"/>
    </xf>
    <xf numFmtId="2" fontId="6" fillId="0" borderId="1" xfId="0" applyNumberFormat="1" applyFont="1" applyFill="1" applyBorder="1" applyAlignment="1">
      <alignment horizontal="center" vertical="center"/>
    </xf>
    <xf numFmtId="2" fontId="6" fillId="3" borderId="14" xfId="0" applyNumberFormat="1" applyFont="1" applyFill="1" applyBorder="1" applyAlignment="1">
      <alignment horizontal="left" vertical="center"/>
    </xf>
    <xf numFmtId="2" fontId="6" fillId="0" borderId="4" xfId="0" applyNumberFormat="1" applyFont="1" applyFill="1" applyBorder="1" applyAlignment="1">
      <alignment horizontal="center" vertical="center"/>
    </xf>
    <xf numFmtId="2" fontId="6" fillId="3" borderId="15" xfId="0" applyNumberFormat="1" applyFont="1" applyFill="1" applyBorder="1" applyAlignment="1">
      <alignment horizontal="left" vertical="center"/>
    </xf>
    <xf numFmtId="2" fontId="5" fillId="3" borderId="15" xfId="0" applyNumberFormat="1" applyFont="1" applyFill="1" applyBorder="1" applyAlignment="1">
      <alignment horizontal="left" vertical="center"/>
    </xf>
    <xf numFmtId="2" fontId="6" fillId="3" borderId="16" xfId="0" applyNumberFormat="1" applyFont="1" applyFill="1" applyBorder="1" applyAlignment="1">
      <alignment horizontal="left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2" fontId="4" fillId="3" borderId="15" xfId="0" applyNumberFormat="1" applyFont="1" applyFill="1" applyBorder="1" applyAlignment="1">
      <alignment horizontal="left" vertical="center"/>
    </xf>
    <xf numFmtId="2" fontId="6" fillId="2" borderId="5" xfId="0" applyNumberFormat="1" applyFont="1" applyFill="1" applyBorder="1" applyAlignment="1">
      <alignment horizontal="center" vertical="center" wrapText="1"/>
    </xf>
    <xf numFmtId="2" fontId="6" fillId="2" borderId="2" xfId="0" applyNumberFormat="1" applyFont="1" applyFill="1" applyBorder="1" applyAlignment="1">
      <alignment horizontal="center" vertical="center" wrapText="1"/>
    </xf>
    <xf numFmtId="2" fontId="6" fillId="3" borderId="15" xfId="0" applyNumberFormat="1" applyFont="1" applyFill="1" applyBorder="1" applyAlignment="1">
      <alignment horizontal="left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2" fontId="2" fillId="3" borderId="25" xfId="0" applyNumberFormat="1" applyFont="1" applyFill="1" applyBorder="1" applyAlignment="1">
      <alignment horizontal="center" vertical="center"/>
    </xf>
    <xf numFmtId="2" fontId="2" fillId="3" borderId="27" xfId="0" applyNumberFormat="1" applyFont="1" applyFill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2" fontId="6" fillId="0" borderId="28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2" fontId="2" fillId="5" borderId="29" xfId="0" applyNumberFormat="1" applyFont="1" applyFill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2" xfId="0" applyNumberFormat="1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46" xfId="0" applyNumberFormat="1" applyFont="1" applyFill="1" applyBorder="1" applyAlignment="1">
      <alignment horizontal="center" vertical="center" wrapText="1"/>
    </xf>
    <xf numFmtId="2" fontId="1" fillId="3" borderId="46" xfId="0" applyNumberFormat="1" applyFont="1" applyFill="1" applyBorder="1" applyAlignment="1">
      <alignment horizontal="left" vertical="center" wrapText="1"/>
    </xf>
    <xf numFmtId="2" fontId="6" fillId="2" borderId="6" xfId="0" applyNumberFormat="1" applyFont="1" applyFill="1" applyBorder="1" applyAlignment="1">
      <alignment horizontal="center" vertical="center" wrapText="1"/>
    </xf>
    <xf numFmtId="2" fontId="6" fillId="2" borderId="6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/>
    </xf>
    <xf numFmtId="2" fontId="1" fillId="3" borderId="33" xfId="0" applyNumberFormat="1" applyFont="1" applyFill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/>
    </xf>
    <xf numFmtId="2" fontId="6" fillId="3" borderId="6" xfId="0" applyNumberFormat="1" applyFont="1" applyFill="1" applyBorder="1" applyAlignment="1">
      <alignment horizontal="center" vertical="center" wrapText="1"/>
    </xf>
    <xf numFmtId="2" fontId="6" fillId="3" borderId="6" xfId="0" applyNumberFormat="1" applyFont="1" applyFill="1" applyBorder="1" applyAlignment="1">
      <alignment horizontal="left" vertical="center"/>
    </xf>
    <xf numFmtId="2" fontId="6" fillId="3" borderId="6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3" borderId="39" xfId="0" applyNumberFormat="1" applyFont="1" applyFill="1" applyBorder="1" applyAlignment="1">
      <alignment horizontal="center" vertical="center" wrapText="1"/>
    </xf>
    <xf numFmtId="2" fontId="1" fillId="3" borderId="35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left" vertical="center"/>
    </xf>
    <xf numFmtId="2" fontId="6" fillId="3" borderId="1" xfId="0" applyNumberFormat="1" applyFont="1" applyFill="1" applyBorder="1" applyAlignment="1">
      <alignment horizontal="left"/>
    </xf>
    <xf numFmtId="2" fontId="1" fillId="0" borderId="24" xfId="0" applyNumberFormat="1" applyFont="1" applyBorder="1" applyAlignment="1">
      <alignment horizontal="left" vertical="center"/>
    </xf>
    <xf numFmtId="2" fontId="6" fillId="0" borderId="4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left" vertical="center"/>
    </xf>
    <xf numFmtId="2" fontId="2" fillId="5" borderId="1" xfId="0" applyNumberFormat="1" applyFont="1" applyFill="1" applyBorder="1" applyAlignment="1">
      <alignment horizontal="center" vertical="center"/>
    </xf>
    <xf numFmtId="2" fontId="6" fillId="3" borderId="3" xfId="0" applyNumberFormat="1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 wrapText="1"/>
    </xf>
    <xf numFmtId="2" fontId="6" fillId="3" borderId="46" xfId="0" applyNumberFormat="1" applyFont="1" applyFill="1" applyBorder="1" applyAlignment="1">
      <alignment horizontal="left" vertical="center" wrapText="1"/>
    </xf>
    <xf numFmtId="2" fontId="6" fillId="2" borderId="48" xfId="0" applyNumberFormat="1" applyFont="1" applyFill="1" applyBorder="1" applyAlignment="1">
      <alignment horizontal="center" vertical="center" wrapText="1"/>
    </xf>
    <xf numFmtId="2" fontId="6" fillId="2" borderId="49" xfId="0" applyNumberFormat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2" fontId="2" fillId="3" borderId="42" xfId="0" applyNumberFormat="1" applyFont="1" applyFill="1" applyBorder="1" applyAlignment="1">
      <alignment horizontal="center" vertical="center" wrapText="1"/>
    </xf>
    <xf numFmtId="2" fontId="2" fillId="3" borderId="41" xfId="0" applyNumberFormat="1" applyFont="1" applyFill="1" applyBorder="1" applyAlignment="1">
      <alignment horizontal="center" vertical="center" wrapText="1"/>
    </xf>
    <xf numFmtId="2" fontId="2" fillId="3" borderId="25" xfId="0" applyNumberFormat="1" applyFont="1" applyFill="1" applyBorder="1" applyAlignment="1">
      <alignment horizontal="center" vertical="center" wrapText="1"/>
    </xf>
    <xf numFmtId="2" fontId="2" fillId="3" borderId="26" xfId="0" applyNumberFormat="1" applyFont="1" applyFill="1" applyBorder="1" applyAlignment="1">
      <alignment horizontal="center" vertical="center" wrapText="1"/>
    </xf>
    <xf numFmtId="2" fontId="2" fillId="3" borderId="27" xfId="0" applyNumberFormat="1" applyFont="1" applyFill="1" applyBorder="1" applyAlignment="1">
      <alignment horizontal="center" vertical="center" wrapText="1"/>
    </xf>
    <xf numFmtId="2" fontId="2" fillId="3" borderId="25" xfId="0" applyNumberFormat="1" applyFont="1" applyFill="1" applyBorder="1" applyAlignment="1">
      <alignment horizontal="center" vertical="center"/>
    </xf>
    <xf numFmtId="2" fontId="2" fillId="3" borderId="26" xfId="0" applyNumberFormat="1" applyFont="1" applyFill="1" applyBorder="1" applyAlignment="1">
      <alignment horizontal="center" vertical="center"/>
    </xf>
    <xf numFmtId="2" fontId="2" fillId="3" borderId="27" xfId="0" applyNumberFormat="1" applyFont="1" applyFill="1" applyBorder="1" applyAlignment="1">
      <alignment horizontal="center" vertical="center"/>
    </xf>
    <xf numFmtId="2" fontId="2" fillId="3" borderId="8" xfId="0" applyNumberFormat="1" applyFont="1" applyFill="1" applyBorder="1" applyAlignment="1">
      <alignment horizontal="center" vertical="center" wrapText="1"/>
    </xf>
    <xf numFmtId="2" fontId="2" fillId="3" borderId="10" xfId="0" applyNumberFormat="1" applyFont="1" applyFill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/>
    </xf>
    <xf numFmtId="2" fontId="6" fillId="0" borderId="31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/>
    </xf>
    <xf numFmtId="2" fontId="6" fillId="0" borderId="32" xfId="0" applyNumberFormat="1" applyFont="1" applyFill="1" applyBorder="1" applyAlignment="1">
      <alignment horizontal="center" vertical="center"/>
    </xf>
    <xf numFmtId="2" fontId="2" fillId="3" borderId="44" xfId="0" applyNumberFormat="1" applyFont="1" applyFill="1" applyBorder="1" applyAlignment="1">
      <alignment horizontal="center" vertical="center"/>
    </xf>
    <xf numFmtId="2" fontId="2" fillId="3" borderId="45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0" borderId="33" xfId="0" applyNumberFormat="1" applyFont="1" applyBorder="1" applyAlignment="1">
      <alignment horizontal="center" vertical="center"/>
    </xf>
    <xf numFmtId="2" fontId="3" fillId="0" borderId="34" xfId="0" applyNumberFormat="1" applyFont="1" applyBorder="1" applyAlignment="1">
      <alignment horizontal="center" vertical="center"/>
    </xf>
    <xf numFmtId="2" fontId="3" fillId="0" borderId="3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1" fillId="2" borderId="22" xfId="0" applyNumberFormat="1" applyFont="1" applyFill="1" applyBorder="1" applyAlignment="1">
      <alignment horizontal="center" vertical="center"/>
    </xf>
    <xf numFmtId="2" fontId="1" fillId="2" borderId="23" xfId="0" applyNumberFormat="1" applyFont="1" applyFill="1" applyBorder="1" applyAlignment="1">
      <alignment horizontal="center" vertical="center"/>
    </xf>
    <xf numFmtId="2" fontId="1" fillId="2" borderId="24" xfId="0" applyNumberFormat="1" applyFont="1" applyFill="1" applyBorder="1" applyAlignment="1">
      <alignment horizontal="center" vertical="center"/>
    </xf>
    <xf numFmtId="2" fontId="1" fillId="2" borderId="31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2" fontId="1" fillId="2" borderId="32" xfId="0" applyNumberFormat="1" applyFont="1" applyFill="1" applyBorder="1" applyAlignment="1">
      <alignment horizontal="center" vertical="center"/>
    </xf>
    <xf numFmtId="2" fontId="1" fillId="2" borderId="19" xfId="0" applyNumberFormat="1" applyFont="1" applyFill="1" applyBorder="1" applyAlignment="1">
      <alignment horizontal="center" vertical="center"/>
    </xf>
    <xf numFmtId="2" fontId="1" fillId="0" borderId="36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" fontId="1" fillId="0" borderId="37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2" fontId="1" fillId="0" borderId="33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3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2" fontId="1" fillId="0" borderId="24" xfId="0" applyNumberFormat="1" applyFont="1" applyBorder="1" applyAlignment="1">
      <alignment horizontal="center" vertical="center"/>
    </xf>
    <xf numFmtId="2" fontId="2" fillId="5" borderId="25" xfId="0" applyNumberFormat="1" applyFont="1" applyFill="1" applyBorder="1" applyAlignment="1">
      <alignment horizontal="center" vertical="center" wrapText="1"/>
    </xf>
    <xf numFmtId="2" fontId="2" fillId="5" borderId="26" xfId="0" applyNumberFormat="1" applyFont="1" applyFill="1" applyBorder="1" applyAlignment="1">
      <alignment horizontal="center" vertical="center" wrapText="1"/>
    </xf>
    <xf numFmtId="2" fontId="2" fillId="5" borderId="27" xfId="0" applyNumberFormat="1" applyFont="1" applyFill="1" applyBorder="1" applyAlignment="1">
      <alignment horizontal="center" vertical="center" wrapText="1"/>
    </xf>
    <xf numFmtId="2" fontId="2" fillId="5" borderId="25" xfId="0" applyNumberFormat="1" applyFont="1" applyFill="1" applyBorder="1" applyAlignment="1">
      <alignment horizontal="center" vertical="center"/>
    </xf>
    <xf numFmtId="2" fontId="2" fillId="5" borderId="26" xfId="0" applyNumberFormat="1" applyFont="1" applyFill="1" applyBorder="1" applyAlignment="1">
      <alignment horizontal="center" vertical="center"/>
    </xf>
    <xf numFmtId="2" fontId="2" fillId="5" borderId="27" xfId="0" applyNumberFormat="1" applyFont="1" applyFill="1" applyBorder="1" applyAlignment="1">
      <alignment horizontal="center" vertical="center"/>
    </xf>
    <xf numFmtId="2" fontId="3" fillId="3" borderId="43" xfId="0" applyNumberFormat="1" applyFont="1" applyFill="1" applyBorder="1" applyAlignment="1">
      <alignment horizontal="center" vertical="center"/>
    </xf>
    <xf numFmtId="2" fontId="3" fillId="3" borderId="28" xfId="0" applyNumberFormat="1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>
      <alignment horizontal="center" vertical="center" wrapText="1"/>
    </xf>
    <xf numFmtId="2" fontId="1" fillId="3" borderId="9" xfId="0" applyNumberFormat="1" applyFont="1" applyFill="1" applyBorder="1" applyAlignment="1">
      <alignment horizontal="center" vertical="center"/>
    </xf>
    <xf numFmtId="2" fontId="6" fillId="0" borderId="22" xfId="0" applyNumberFormat="1" applyFont="1" applyFill="1" applyBorder="1" applyAlignment="1">
      <alignment horizontal="center" vertical="center"/>
    </xf>
    <xf numFmtId="2" fontId="6" fillId="0" borderId="23" xfId="0" applyNumberFormat="1" applyFont="1" applyFill="1" applyBorder="1" applyAlignment="1">
      <alignment horizontal="center" vertical="center"/>
    </xf>
    <xf numFmtId="2" fontId="6" fillId="0" borderId="24" xfId="0" applyNumberFormat="1" applyFont="1" applyFill="1" applyBorder="1" applyAlignment="1">
      <alignment horizontal="center" vertical="center"/>
    </xf>
    <xf numFmtId="2" fontId="6" fillId="0" borderId="19" xfId="0" applyNumberFormat="1" applyFont="1" applyFill="1" applyBorder="1" applyAlignment="1">
      <alignment horizontal="center" vertical="center"/>
    </xf>
    <xf numFmtId="2" fontId="6" fillId="0" borderId="38" xfId="0" applyNumberFormat="1" applyFont="1" applyFill="1" applyBorder="1" applyAlignment="1">
      <alignment horizontal="center" vertical="center"/>
    </xf>
    <xf numFmtId="2" fontId="6" fillId="0" borderId="40" xfId="0" applyNumberFormat="1" applyFont="1" applyFill="1" applyBorder="1" applyAlignment="1">
      <alignment horizontal="center" vertical="center"/>
    </xf>
    <xf numFmtId="2" fontId="6" fillId="0" borderId="39" xfId="0" applyNumberFormat="1" applyFont="1" applyFill="1" applyBorder="1" applyAlignment="1">
      <alignment horizontal="center" vertical="center"/>
    </xf>
    <xf numFmtId="2" fontId="6" fillId="0" borderId="6" xfId="0" applyNumberFormat="1" applyFont="1" applyFill="1" applyBorder="1" applyAlignment="1">
      <alignment horizontal="center" vertical="center"/>
    </xf>
    <xf numFmtId="2" fontId="2" fillId="4" borderId="25" xfId="0" applyNumberFormat="1" applyFont="1" applyFill="1" applyBorder="1" applyAlignment="1">
      <alignment horizontal="center" vertical="center" wrapText="1"/>
    </xf>
    <xf numFmtId="2" fontId="2" fillId="4" borderId="26" xfId="0" applyNumberFormat="1" applyFont="1" applyFill="1" applyBorder="1" applyAlignment="1">
      <alignment horizontal="center" vertical="center" wrapText="1"/>
    </xf>
    <xf numFmtId="2" fontId="2" fillId="4" borderId="27" xfId="0" applyNumberFormat="1" applyFont="1" applyFill="1" applyBorder="1" applyAlignment="1">
      <alignment horizontal="center" vertical="center" wrapText="1"/>
    </xf>
    <xf numFmtId="2" fontId="6" fillId="0" borderId="31" xfId="0" applyNumberFormat="1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2" fontId="6" fillId="0" borderId="32" xfId="0" applyNumberFormat="1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2" fontId="6" fillId="0" borderId="38" xfId="0" applyNumberFormat="1" applyFont="1" applyBorder="1" applyAlignment="1">
      <alignment horizontal="center" vertical="center"/>
    </xf>
    <xf numFmtId="2" fontId="6" fillId="0" borderId="40" xfId="0" applyNumberFormat="1" applyFont="1" applyBorder="1" applyAlignment="1">
      <alignment horizontal="center" vertical="center"/>
    </xf>
    <xf numFmtId="2" fontId="6" fillId="0" borderId="39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2" fontId="6" fillId="7" borderId="6" xfId="0" applyNumberFormat="1" applyFont="1" applyFill="1" applyBorder="1" applyAlignment="1">
      <alignment horizontal="center" vertical="center" wrapText="1"/>
    </xf>
    <xf numFmtId="2" fontId="6" fillId="7" borderId="6" xfId="0" applyNumberFormat="1" applyFont="1" applyFill="1" applyBorder="1" applyAlignment="1">
      <alignment horizontal="left" vertical="center"/>
    </xf>
    <xf numFmtId="2" fontId="6" fillId="7" borderId="6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center" vertical="center"/>
    </xf>
    <xf numFmtId="2" fontId="1" fillId="7" borderId="6" xfId="0" applyNumberFormat="1" applyFont="1" applyFill="1" applyBorder="1" applyAlignment="1">
      <alignment horizontal="center" vertical="center"/>
    </xf>
    <xf numFmtId="2" fontId="1" fillId="7" borderId="6" xfId="0" applyNumberFormat="1" applyFont="1" applyFill="1" applyBorder="1" applyAlignment="1">
      <alignment horizontal="left" vertical="center"/>
    </xf>
    <xf numFmtId="2" fontId="1" fillId="7" borderId="1" xfId="0" applyNumberFormat="1" applyFont="1" applyFill="1" applyBorder="1" applyAlignment="1">
      <alignment horizontal="center" vertical="center"/>
    </xf>
    <xf numFmtId="2" fontId="6" fillId="7" borderId="3" xfId="0" applyNumberFormat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left" vertical="center"/>
    </xf>
    <xf numFmtId="2" fontId="1" fillId="7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abSelected="1" topLeftCell="A22" zoomScale="94" zoomScaleNormal="85" workbookViewId="0">
      <selection activeCell="J49" sqref="J49"/>
    </sheetView>
  </sheetViews>
  <sheetFormatPr defaultRowHeight="15.6" x14ac:dyDescent="0.3"/>
  <cols>
    <col min="1" max="1" width="21" style="2" customWidth="1"/>
    <col min="2" max="16" width="8.88671875" style="1"/>
    <col min="17" max="17" width="8.88671875" style="127"/>
    <col min="18" max="18" width="52.21875" style="130" customWidth="1"/>
    <col min="19" max="19" width="8.88671875" style="4"/>
    <col min="20" max="16384" width="8.88671875" style="1"/>
  </cols>
  <sheetData>
    <row r="1" spans="1:27" ht="16.2" thickBot="1" x14ac:dyDescent="0.35">
      <c r="A1" s="24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20"/>
    </row>
    <row r="2" spans="1:27" x14ac:dyDescent="0.3">
      <c r="A2" s="169"/>
      <c r="B2" s="170" t="s">
        <v>0</v>
      </c>
      <c r="C2" s="170"/>
      <c r="D2" s="170"/>
      <c r="E2" s="170"/>
      <c r="F2" s="171" t="s">
        <v>1</v>
      </c>
      <c r="G2" s="171"/>
      <c r="H2" s="171"/>
      <c r="I2" s="171"/>
      <c r="J2" s="170" t="s">
        <v>2</v>
      </c>
      <c r="K2" s="170"/>
      <c r="L2" s="170"/>
      <c r="M2" s="170"/>
      <c r="N2" s="170" t="s">
        <v>3</v>
      </c>
      <c r="O2" s="170"/>
      <c r="P2" s="170"/>
      <c r="Q2" s="170"/>
      <c r="R2" s="131"/>
    </row>
    <row r="3" spans="1:27" ht="15.6" customHeight="1" x14ac:dyDescent="0.3">
      <c r="A3" s="172"/>
      <c r="B3" s="10" t="s">
        <v>4</v>
      </c>
      <c r="C3" s="11" t="s">
        <v>5</v>
      </c>
      <c r="D3" s="11" t="s">
        <v>6</v>
      </c>
      <c r="E3" s="11" t="s">
        <v>7</v>
      </c>
      <c r="F3" s="10" t="s">
        <v>4</v>
      </c>
      <c r="G3" s="11" t="s">
        <v>5</v>
      </c>
      <c r="H3" s="11" t="s">
        <v>6</v>
      </c>
      <c r="I3" s="11" t="s">
        <v>7</v>
      </c>
      <c r="J3" s="10" t="s">
        <v>4</v>
      </c>
      <c r="K3" s="11" t="s">
        <v>5</v>
      </c>
      <c r="L3" s="11" t="s">
        <v>6</v>
      </c>
      <c r="M3" s="11" t="s">
        <v>7</v>
      </c>
      <c r="N3" s="10" t="s">
        <v>4</v>
      </c>
      <c r="O3" s="11" t="s">
        <v>5</v>
      </c>
      <c r="P3" s="11" t="s">
        <v>6</v>
      </c>
      <c r="Q3" s="121" t="s">
        <v>7</v>
      </c>
      <c r="R3" s="131"/>
    </row>
    <row r="4" spans="1:27" x14ac:dyDescent="0.3">
      <c r="A4" s="22" t="s">
        <v>177</v>
      </c>
      <c r="B4" s="12">
        <v>1.1200000000000001</v>
      </c>
      <c r="C4" s="12">
        <v>0.56999999999999995</v>
      </c>
      <c r="D4" s="12">
        <v>0.9</v>
      </c>
      <c r="E4" s="12">
        <v>11.8</v>
      </c>
      <c r="F4" s="12">
        <v>18.93</v>
      </c>
      <c r="G4" s="12">
        <v>0.56000000000000005</v>
      </c>
      <c r="H4" s="12">
        <v>18.600000000000001</v>
      </c>
      <c r="I4" s="12">
        <v>19.899999999999999</v>
      </c>
      <c r="J4" s="12">
        <v>2.5299999999999998</v>
      </c>
      <c r="K4" s="12">
        <v>0.56000000000000005</v>
      </c>
      <c r="L4" s="12">
        <v>2.2000000000000002</v>
      </c>
      <c r="M4" s="12">
        <v>3.5</v>
      </c>
      <c r="N4" s="12">
        <v>59.22</v>
      </c>
      <c r="O4" s="12">
        <v>0.45</v>
      </c>
      <c r="P4" s="12">
        <v>56</v>
      </c>
      <c r="Q4" s="122">
        <v>60</v>
      </c>
      <c r="R4" s="131" t="s">
        <v>10</v>
      </c>
    </row>
    <row r="5" spans="1:27" x14ac:dyDescent="0.3">
      <c r="A5" s="22" t="s">
        <v>8</v>
      </c>
      <c r="B5" s="12">
        <v>1.17</v>
      </c>
      <c r="C5" s="12">
        <v>0.32</v>
      </c>
      <c r="D5" s="12">
        <v>0.9</v>
      </c>
      <c r="E5" s="12">
        <v>5.7</v>
      </c>
      <c r="F5" s="12">
        <v>100.53</v>
      </c>
      <c r="G5" s="12">
        <v>3.61</v>
      </c>
      <c r="H5" s="12">
        <v>97.7</v>
      </c>
      <c r="I5" s="12">
        <v>157.69999999999999</v>
      </c>
      <c r="J5" s="12">
        <v>0.21</v>
      </c>
      <c r="K5" s="12">
        <v>2.93</v>
      </c>
      <c r="L5" s="12">
        <v>0</v>
      </c>
      <c r="M5" s="12">
        <v>53.8</v>
      </c>
      <c r="N5" s="12">
        <v>59.43</v>
      </c>
      <c r="O5" s="12">
        <v>0.51</v>
      </c>
      <c r="P5" s="12">
        <v>57</v>
      </c>
      <c r="Q5" s="122">
        <v>60</v>
      </c>
      <c r="R5" s="131" t="s">
        <v>11</v>
      </c>
    </row>
    <row r="6" spans="1:27" x14ac:dyDescent="0.3">
      <c r="A6" s="22" t="s">
        <v>9</v>
      </c>
      <c r="B6" s="13">
        <v>20.94</v>
      </c>
      <c r="C6" s="13">
        <v>0.83</v>
      </c>
      <c r="D6" s="13">
        <v>15.9</v>
      </c>
      <c r="E6" s="13">
        <v>23.2</v>
      </c>
      <c r="F6" s="13">
        <v>250.45</v>
      </c>
      <c r="G6" s="13">
        <v>5.69</v>
      </c>
      <c r="H6" s="13">
        <v>242.3</v>
      </c>
      <c r="I6" s="13">
        <v>265.39999999999998</v>
      </c>
      <c r="J6" s="13">
        <v>133.15</v>
      </c>
      <c r="K6" s="13">
        <v>5.69</v>
      </c>
      <c r="L6" s="13">
        <v>125</v>
      </c>
      <c r="M6" s="13">
        <v>148.1</v>
      </c>
      <c r="N6" s="134">
        <v>60</v>
      </c>
      <c r="O6" s="13">
        <v>0</v>
      </c>
      <c r="P6" s="13">
        <v>60</v>
      </c>
      <c r="Q6" s="123">
        <v>60</v>
      </c>
      <c r="R6" s="131" t="s">
        <v>79</v>
      </c>
    </row>
    <row r="7" spans="1:27" ht="16.2" thickBot="1" x14ac:dyDescent="0.35">
      <c r="A7" s="23" t="s">
        <v>178</v>
      </c>
      <c r="B7" s="14">
        <v>2.5</v>
      </c>
      <c r="C7" s="14">
        <v>0.44</v>
      </c>
      <c r="D7" s="14">
        <v>1.4</v>
      </c>
      <c r="E7" s="14">
        <v>4.7</v>
      </c>
      <c r="F7" s="14">
        <v>17.809999999999999</v>
      </c>
      <c r="G7" s="14">
        <v>1</v>
      </c>
      <c r="H7" s="14">
        <v>15.8</v>
      </c>
      <c r="I7" s="14">
        <v>19.3</v>
      </c>
      <c r="J7" s="14">
        <v>1.19</v>
      </c>
      <c r="K7" s="14">
        <v>0.89</v>
      </c>
      <c r="L7" s="14">
        <v>0</v>
      </c>
      <c r="M7" s="14">
        <v>2.6</v>
      </c>
      <c r="N7" s="14">
        <v>60</v>
      </c>
      <c r="O7" s="14">
        <v>0</v>
      </c>
      <c r="P7" s="14">
        <v>60</v>
      </c>
      <c r="Q7" s="124">
        <v>60</v>
      </c>
      <c r="R7" s="131" t="s">
        <v>116</v>
      </c>
      <c r="S7" s="7"/>
      <c r="T7" s="5"/>
      <c r="U7" s="5"/>
      <c r="V7" s="5"/>
      <c r="W7" s="5"/>
      <c r="X7" s="5"/>
      <c r="Y7" s="5"/>
      <c r="Z7" s="5"/>
      <c r="AA7" s="5"/>
    </row>
    <row r="8" spans="1:27" ht="16.2" thickBot="1" x14ac:dyDescent="0.35">
      <c r="A8" s="176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8"/>
    </row>
    <row r="9" spans="1:27" x14ac:dyDescent="0.3">
      <c r="A9" s="169"/>
      <c r="B9" s="170" t="s">
        <v>0</v>
      </c>
      <c r="C9" s="170"/>
      <c r="D9" s="170"/>
      <c r="E9" s="170"/>
      <c r="F9" s="171" t="s">
        <v>1</v>
      </c>
      <c r="G9" s="171"/>
      <c r="H9" s="171"/>
      <c r="I9" s="171"/>
      <c r="J9" s="170" t="s">
        <v>2</v>
      </c>
      <c r="K9" s="170"/>
      <c r="L9" s="170"/>
      <c r="M9" s="170"/>
      <c r="N9" s="170" t="s">
        <v>3</v>
      </c>
      <c r="O9" s="170"/>
      <c r="P9" s="170"/>
      <c r="Q9" s="170"/>
      <c r="R9" s="131"/>
    </row>
    <row r="10" spans="1:27" x14ac:dyDescent="0.3">
      <c r="A10" s="172"/>
      <c r="B10" s="10" t="s">
        <v>4</v>
      </c>
      <c r="C10" s="11" t="s">
        <v>5</v>
      </c>
      <c r="D10" s="11" t="s">
        <v>6</v>
      </c>
      <c r="E10" s="11" t="s">
        <v>7</v>
      </c>
      <c r="F10" s="10" t="s">
        <v>4</v>
      </c>
      <c r="G10" s="11" t="s">
        <v>5</v>
      </c>
      <c r="H10" s="11" t="s">
        <v>6</v>
      </c>
      <c r="I10" s="11" t="s">
        <v>7</v>
      </c>
      <c r="J10" s="10" t="s">
        <v>4</v>
      </c>
      <c r="K10" s="11" t="s">
        <v>5</v>
      </c>
      <c r="L10" s="11" t="s">
        <v>6</v>
      </c>
      <c r="M10" s="11" t="s">
        <v>7</v>
      </c>
      <c r="N10" s="10" t="s">
        <v>4</v>
      </c>
      <c r="O10" s="11" t="s">
        <v>5</v>
      </c>
      <c r="P10" s="11" t="s">
        <v>6</v>
      </c>
      <c r="Q10" s="121" t="s">
        <v>7</v>
      </c>
      <c r="R10" s="131"/>
    </row>
    <row r="11" spans="1:27" x14ac:dyDescent="0.3">
      <c r="A11" s="115" t="s">
        <v>177</v>
      </c>
      <c r="B11" s="15">
        <v>1.36</v>
      </c>
      <c r="C11" s="15">
        <v>1.0900000000000001</v>
      </c>
      <c r="D11" s="15">
        <v>0.5</v>
      </c>
      <c r="E11" s="15">
        <v>16.7</v>
      </c>
      <c r="F11" s="15">
        <v>18.440000000000001</v>
      </c>
      <c r="G11" s="15">
        <v>0.18</v>
      </c>
      <c r="H11" s="15">
        <v>18.3</v>
      </c>
      <c r="I11" s="15">
        <v>19</v>
      </c>
      <c r="J11" s="15">
        <v>2.44</v>
      </c>
      <c r="K11" s="15">
        <v>0.18</v>
      </c>
      <c r="L11" s="15">
        <v>2.2999999999999998</v>
      </c>
      <c r="M11" s="15">
        <v>3</v>
      </c>
      <c r="N11" s="15">
        <v>59.16</v>
      </c>
      <c r="O11" s="15">
        <v>0.44</v>
      </c>
      <c r="P11" s="15">
        <v>59</v>
      </c>
      <c r="Q11" s="125">
        <v>60</v>
      </c>
      <c r="R11" s="131" t="s">
        <v>12</v>
      </c>
    </row>
    <row r="12" spans="1:27" x14ac:dyDescent="0.3">
      <c r="A12" s="115" t="s">
        <v>8</v>
      </c>
      <c r="B12" s="13">
        <v>1.1399999999999999</v>
      </c>
      <c r="C12" s="13">
        <v>0.24</v>
      </c>
      <c r="D12" s="13">
        <v>0.8</v>
      </c>
      <c r="E12" s="13">
        <v>2.2999999999999998</v>
      </c>
      <c r="F12" s="13">
        <v>100.1</v>
      </c>
      <c r="G12" s="13">
        <v>2.91</v>
      </c>
      <c r="H12" s="13">
        <v>98.2</v>
      </c>
      <c r="I12" s="13">
        <v>143.19999999999999</v>
      </c>
      <c r="J12" s="13">
        <v>0.12</v>
      </c>
      <c r="K12" s="13">
        <v>2.2000000000000002</v>
      </c>
      <c r="L12" s="13">
        <v>0</v>
      </c>
      <c r="M12" s="13">
        <v>39</v>
      </c>
      <c r="N12" s="13">
        <v>59.38</v>
      </c>
      <c r="O12" s="13">
        <v>0.49</v>
      </c>
      <c r="P12" s="13">
        <v>59</v>
      </c>
      <c r="Q12" s="123">
        <v>60</v>
      </c>
      <c r="R12" s="131" t="s">
        <v>86</v>
      </c>
    </row>
    <row r="13" spans="1:27" x14ac:dyDescent="0.3">
      <c r="A13" s="115" t="s">
        <v>9</v>
      </c>
      <c r="B13" s="13">
        <v>21.15</v>
      </c>
      <c r="C13" s="13">
        <v>1.02</v>
      </c>
      <c r="D13" s="13">
        <v>15</v>
      </c>
      <c r="E13" s="13">
        <v>24.4</v>
      </c>
      <c r="F13" s="13">
        <v>247.35</v>
      </c>
      <c r="G13" s="13">
        <v>4.68</v>
      </c>
      <c r="H13" s="13">
        <v>242.1</v>
      </c>
      <c r="I13" s="13">
        <v>260.10000000000002</v>
      </c>
      <c r="J13" s="13">
        <v>129.94999999999999</v>
      </c>
      <c r="K13" s="13">
        <v>4.68</v>
      </c>
      <c r="L13" s="13">
        <v>124.7</v>
      </c>
      <c r="M13" s="13">
        <v>142.69999999999999</v>
      </c>
      <c r="N13" s="13">
        <v>60</v>
      </c>
      <c r="O13" s="13">
        <v>0</v>
      </c>
      <c r="P13" s="13">
        <v>60</v>
      </c>
      <c r="Q13" s="123">
        <v>60</v>
      </c>
      <c r="R13" s="131" t="s">
        <v>89</v>
      </c>
    </row>
    <row r="14" spans="1:27" ht="16.2" thickBot="1" x14ac:dyDescent="0.35">
      <c r="A14" s="23" t="s">
        <v>178</v>
      </c>
      <c r="B14" s="20">
        <v>2.46</v>
      </c>
      <c r="C14" s="20">
        <v>0.51</v>
      </c>
      <c r="D14" s="20">
        <v>1.6</v>
      </c>
      <c r="E14" s="20">
        <v>7.7</v>
      </c>
      <c r="F14" s="20">
        <v>17.95</v>
      </c>
      <c r="G14" s="20">
        <v>1.04</v>
      </c>
      <c r="H14" s="20">
        <v>16</v>
      </c>
      <c r="I14" s="20">
        <v>19.5</v>
      </c>
      <c r="J14" s="20">
        <v>1.22</v>
      </c>
      <c r="K14" s="20">
        <v>0.95</v>
      </c>
      <c r="L14" s="20">
        <v>0</v>
      </c>
      <c r="M14" s="20">
        <v>2.7</v>
      </c>
      <c r="N14" s="20">
        <v>60</v>
      </c>
      <c r="O14" s="20">
        <v>0.04</v>
      </c>
      <c r="P14" s="20">
        <v>59</v>
      </c>
      <c r="Q14" s="126">
        <v>60</v>
      </c>
      <c r="R14" s="131" t="s">
        <v>124</v>
      </c>
      <c r="S14" s="7"/>
      <c r="T14" s="5"/>
      <c r="U14" s="5"/>
      <c r="V14" s="5"/>
      <c r="W14" s="5"/>
      <c r="X14" s="5"/>
      <c r="Y14" s="5"/>
      <c r="Z14" s="5"/>
      <c r="AA14" s="5"/>
    </row>
    <row r="15" spans="1:27" ht="16.2" thickBot="1" x14ac:dyDescent="0.35">
      <c r="A15" s="173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5"/>
    </row>
    <row r="16" spans="1:27" x14ac:dyDescent="0.3">
      <c r="A16" s="169"/>
      <c r="B16" s="170" t="s">
        <v>0</v>
      </c>
      <c r="C16" s="170"/>
      <c r="D16" s="170"/>
      <c r="E16" s="170"/>
      <c r="F16" s="171" t="s">
        <v>1</v>
      </c>
      <c r="G16" s="171"/>
      <c r="H16" s="171"/>
      <c r="I16" s="171"/>
      <c r="J16" s="170" t="s">
        <v>2</v>
      </c>
      <c r="K16" s="170"/>
      <c r="L16" s="170"/>
      <c r="M16" s="170"/>
      <c r="N16" s="170" t="s">
        <v>3</v>
      </c>
      <c r="O16" s="170"/>
      <c r="P16" s="170"/>
      <c r="Q16" s="170"/>
      <c r="R16" s="131"/>
    </row>
    <row r="17" spans="1:27" x14ac:dyDescent="0.3">
      <c r="A17" s="172"/>
      <c r="B17" s="10" t="s">
        <v>4</v>
      </c>
      <c r="C17" s="11" t="s">
        <v>5</v>
      </c>
      <c r="D17" s="11" t="s">
        <v>6</v>
      </c>
      <c r="E17" s="11" t="s">
        <v>7</v>
      </c>
      <c r="F17" s="10" t="s">
        <v>4</v>
      </c>
      <c r="G17" s="11" t="s">
        <v>5</v>
      </c>
      <c r="H17" s="11" t="s">
        <v>6</v>
      </c>
      <c r="I17" s="11" t="s">
        <v>7</v>
      </c>
      <c r="J17" s="10" t="s">
        <v>4</v>
      </c>
      <c r="K17" s="11" t="s">
        <v>5</v>
      </c>
      <c r="L17" s="11" t="s">
        <v>6</v>
      </c>
      <c r="M17" s="11" t="s">
        <v>7</v>
      </c>
      <c r="N17" s="10" t="s">
        <v>4</v>
      </c>
      <c r="O17" s="11" t="s">
        <v>5</v>
      </c>
      <c r="P17" s="11" t="s">
        <v>6</v>
      </c>
      <c r="Q17" s="121" t="s">
        <v>7</v>
      </c>
      <c r="R17" s="131"/>
    </row>
    <row r="18" spans="1:27" x14ac:dyDescent="0.3">
      <c r="A18" s="115" t="s">
        <v>177</v>
      </c>
      <c r="B18" s="15">
        <v>1.04</v>
      </c>
      <c r="C18" s="15">
        <v>0.17</v>
      </c>
      <c r="D18" s="15">
        <v>0.6</v>
      </c>
      <c r="E18" s="15">
        <v>3.2</v>
      </c>
      <c r="F18" s="15">
        <v>18</v>
      </c>
      <c r="G18" s="15">
        <v>0.03</v>
      </c>
      <c r="H18" s="15">
        <v>18</v>
      </c>
      <c r="I18" s="15">
        <v>18.399999999999999</v>
      </c>
      <c r="J18" s="15">
        <v>1.9</v>
      </c>
      <c r="K18" s="15">
        <v>0.03</v>
      </c>
      <c r="L18" s="15">
        <v>1.9</v>
      </c>
      <c r="M18" s="15">
        <v>2.2999999999999998</v>
      </c>
      <c r="N18" s="15">
        <v>59.45</v>
      </c>
      <c r="O18" s="15">
        <v>0.5</v>
      </c>
      <c r="P18" s="15">
        <v>59</v>
      </c>
      <c r="Q18" s="125">
        <v>60</v>
      </c>
      <c r="R18" s="131" t="s">
        <v>99</v>
      </c>
    </row>
    <row r="19" spans="1:27" x14ac:dyDescent="0.3">
      <c r="A19" s="115" t="s">
        <v>8</v>
      </c>
      <c r="B19" s="15">
        <v>1.1200000000000001</v>
      </c>
      <c r="C19" s="15">
        <v>0.22</v>
      </c>
      <c r="D19" s="15">
        <v>0.6</v>
      </c>
      <c r="E19" s="15">
        <v>2.4</v>
      </c>
      <c r="F19" s="15">
        <v>100.25</v>
      </c>
      <c r="G19" s="15">
        <v>2.73</v>
      </c>
      <c r="H19" s="15">
        <v>98</v>
      </c>
      <c r="I19" s="15">
        <v>134.80000000000001</v>
      </c>
      <c r="J19" s="15">
        <v>0.16</v>
      </c>
      <c r="K19" s="15">
        <v>1.75</v>
      </c>
      <c r="L19" s="15">
        <v>0</v>
      </c>
      <c r="M19" s="15">
        <v>30.4</v>
      </c>
      <c r="N19" s="15">
        <v>59.41</v>
      </c>
      <c r="O19" s="15">
        <v>0.49</v>
      </c>
      <c r="P19" s="15">
        <v>59</v>
      </c>
      <c r="Q19" s="125">
        <v>60</v>
      </c>
      <c r="R19" s="131" t="s">
        <v>13</v>
      </c>
    </row>
    <row r="20" spans="1:27" x14ac:dyDescent="0.3">
      <c r="A20" s="115" t="s">
        <v>9</v>
      </c>
      <c r="B20" s="13">
        <v>21.27</v>
      </c>
      <c r="C20" s="13">
        <v>1.19</v>
      </c>
      <c r="D20" s="13">
        <v>12.1</v>
      </c>
      <c r="E20" s="13">
        <v>24.2</v>
      </c>
      <c r="F20" s="13">
        <v>247.65</v>
      </c>
      <c r="G20" s="13">
        <v>4.32</v>
      </c>
      <c r="H20" s="13">
        <v>242.4</v>
      </c>
      <c r="I20" s="13">
        <v>266.7</v>
      </c>
      <c r="J20" s="13">
        <v>129.85</v>
      </c>
      <c r="K20" s="13">
        <v>4.32</v>
      </c>
      <c r="L20" s="13">
        <v>124.6</v>
      </c>
      <c r="M20" s="13">
        <v>148.9</v>
      </c>
      <c r="N20" s="13">
        <v>60</v>
      </c>
      <c r="O20" s="13">
        <v>0</v>
      </c>
      <c r="P20" s="13">
        <v>60</v>
      </c>
      <c r="Q20" s="123">
        <v>60</v>
      </c>
      <c r="R20" s="131" t="s">
        <v>96</v>
      </c>
    </row>
    <row r="21" spans="1:27" s="3" customFormat="1" ht="16.2" thickBot="1" x14ac:dyDescent="0.35">
      <c r="A21" s="23" t="s">
        <v>178</v>
      </c>
      <c r="B21" s="14">
        <v>2.5</v>
      </c>
      <c r="C21" s="14">
        <v>0.49</v>
      </c>
      <c r="D21" s="14">
        <v>1.6</v>
      </c>
      <c r="E21" s="14">
        <v>5.9</v>
      </c>
      <c r="F21" s="14">
        <v>17.66</v>
      </c>
      <c r="G21" s="14">
        <v>0.96</v>
      </c>
      <c r="H21" s="14">
        <v>15.9</v>
      </c>
      <c r="I21" s="14">
        <v>19.2</v>
      </c>
      <c r="J21" s="14">
        <v>1.19</v>
      </c>
      <c r="K21" s="14">
        <v>0.91</v>
      </c>
      <c r="L21" s="14">
        <v>0</v>
      </c>
      <c r="M21" s="14">
        <v>2.7</v>
      </c>
      <c r="N21" s="14">
        <v>60</v>
      </c>
      <c r="O21" s="14">
        <v>0</v>
      </c>
      <c r="P21" s="14">
        <v>60</v>
      </c>
      <c r="Q21" s="124">
        <v>60</v>
      </c>
      <c r="R21" s="131" t="s">
        <v>132</v>
      </c>
      <c r="S21" s="8"/>
      <c r="T21" s="6"/>
      <c r="U21" s="6"/>
      <c r="V21" s="6"/>
      <c r="W21" s="6"/>
      <c r="X21" s="6"/>
      <c r="Y21" s="6"/>
      <c r="Z21" s="6"/>
      <c r="AA21" s="6"/>
    </row>
    <row r="22" spans="1:27" ht="16.2" thickBot="1" x14ac:dyDescent="0.35">
      <c r="A22" s="176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8"/>
    </row>
    <row r="23" spans="1:27" x14ac:dyDescent="0.3">
      <c r="A23" s="169"/>
      <c r="B23" s="170" t="s">
        <v>0</v>
      </c>
      <c r="C23" s="170"/>
      <c r="D23" s="170"/>
      <c r="E23" s="170"/>
      <c r="F23" s="171" t="s">
        <v>1</v>
      </c>
      <c r="G23" s="171"/>
      <c r="H23" s="171"/>
      <c r="I23" s="171"/>
      <c r="J23" s="170" t="s">
        <v>2</v>
      </c>
      <c r="K23" s="170"/>
      <c r="L23" s="170"/>
      <c r="M23" s="170"/>
      <c r="N23" s="170" t="s">
        <v>3</v>
      </c>
      <c r="O23" s="170"/>
      <c r="P23" s="170"/>
      <c r="Q23" s="170"/>
      <c r="R23" s="131"/>
    </row>
    <row r="24" spans="1:27" x14ac:dyDescent="0.3">
      <c r="A24" s="172"/>
      <c r="B24" s="10" t="s">
        <v>4</v>
      </c>
      <c r="C24" s="11" t="s">
        <v>5</v>
      </c>
      <c r="D24" s="11" t="s">
        <v>6</v>
      </c>
      <c r="E24" s="11" t="s">
        <v>7</v>
      </c>
      <c r="F24" s="10" t="s">
        <v>4</v>
      </c>
      <c r="G24" s="11" t="s">
        <v>5</v>
      </c>
      <c r="H24" s="11" t="s">
        <v>6</v>
      </c>
      <c r="I24" s="11" t="s">
        <v>7</v>
      </c>
      <c r="J24" s="10" t="s">
        <v>4</v>
      </c>
      <c r="K24" s="11" t="s">
        <v>5</v>
      </c>
      <c r="L24" s="11" t="s">
        <v>6</v>
      </c>
      <c r="M24" s="11" t="s">
        <v>7</v>
      </c>
      <c r="N24" s="10" t="s">
        <v>4</v>
      </c>
      <c r="O24" s="11" t="s">
        <v>5</v>
      </c>
      <c r="P24" s="11" t="s">
        <v>6</v>
      </c>
      <c r="Q24" s="121" t="s">
        <v>7</v>
      </c>
      <c r="R24" s="131"/>
    </row>
    <row r="25" spans="1:27" x14ac:dyDescent="0.3">
      <c r="A25" s="115" t="s">
        <v>177</v>
      </c>
      <c r="B25" s="15">
        <v>1.1100000000000001</v>
      </c>
      <c r="C25" s="15">
        <v>0.55000000000000004</v>
      </c>
      <c r="D25" s="15">
        <v>0.7</v>
      </c>
      <c r="E25" s="15">
        <v>10.4</v>
      </c>
      <c r="F25" s="15">
        <v>18.13</v>
      </c>
      <c r="G25" s="15">
        <v>0.15</v>
      </c>
      <c r="H25" s="15">
        <v>18</v>
      </c>
      <c r="I25" s="15">
        <v>18.600000000000001</v>
      </c>
      <c r="J25" s="15">
        <v>1.83</v>
      </c>
      <c r="K25" s="15">
        <v>0.15</v>
      </c>
      <c r="L25" s="15">
        <v>1.7</v>
      </c>
      <c r="M25" s="15">
        <v>2.2999999999999998</v>
      </c>
      <c r="N25" s="15">
        <v>59.35</v>
      </c>
      <c r="O25" s="15">
        <v>0.51</v>
      </c>
      <c r="P25" s="15">
        <v>56</v>
      </c>
      <c r="Q25" s="125">
        <v>60</v>
      </c>
      <c r="R25" s="131" t="s">
        <v>14</v>
      </c>
    </row>
    <row r="26" spans="1:27" x14ac:dyDescent="0.3">
      <c r="A26" s="115" t="s">
        <v>8</v>
      </c>
      <c r="B26" s="13">
        <v>1.2</v>
      </c>
      <c r="C26" s="13">
        <v>0.86</v>
      </c>
      <c r="D26" s="13">
        <v>0.9</v>
      </c>
      <c r="E26" s="13">
        <v>15.9</v>
      </c>
      <c r="F26" s="13">
        <v>102.74</v>
      </c>
      <c r="G26" s="13">
        <v>3.12</v>
      </c>
      <c r="H26" s="13">
        <v>100.3</v>
      </c>
      <c r="I26" s="13">
        <v>163.6</v>
      </c>
      <c r="J26" s="13">
        <v>0.13</v>
      </c>
      <c r="K26" s="13">
        <v>2.4</v>
      </c>
      <c r="L26" s="13">
        <v>0</v>
      </c>
      <c r="M26" s="13">
        <v>53.4</v>
      </c>
      <c r="N26" s="13">
        <v>59.3</v>
      </c>
      <c r="O26" s="13">
        <v>0.47</v>
      </c>
      <c r="P26" s="13">
        <v>57</v>
      </c>
      <c r="Q26" s="133">
        <v>60</v>
      </c>
      <c r="R26" s="131" t="s">
        <v>87</v>
      </c>
    </row>
    <row r="27" spans="1:27" x14ac:dyDescent="0.3">
      <c r="A27" s="115" t="s">
        <v>9</v>
      </c>
      <c r="B27" s="20">
        <v>21.23</v>
      </c>
      <c r="C27" s="20">
        <v>0.88</v>
      </c>
      <c r="D27" s="20">
        <v>13.7</v>
      </c>
      <c r="E27" s="20">
        <v>23.6</v>
      </c>
      <c r="F27" s="20">
        <v>248.65</v>
      </c>
      <c r="G27" s="20">
        <v>4.5999999999999996</v>
      </c>
      <c r="H27" s="20">
        <v>242.2</v>
      </c>
      <c r="I27" s="20">
        <v>259.7</v>
      </c>
      <c r="J27" s="20">
        <v>130.94999999999999</v>
      </c>
      <c r="K27" s="20">
        <v>4.5999999999999996</v>
      </c>
      <c r="L27" s="20">
        <v>124.5</v>
      </c>
      <c r="M27" s="20">
        <v>142</v>
      </c>
      <c r="N27" s="20">
        <v>60</v>
      </c>
      <c r="O27" s="20">
        <v>0</v>
      </c>
      <c r="P27" s="20">
        <v>60</v>
      </c>
      <c r="Q27" s="126">
        <v>60</v>
      </c>
      <c r="R27" s="131" t="s">
        <v>104</v>
      </c>
      <c r="S27" s="7"/>
      <c r="T27" s="5"/>
      <c r="U27" s="5"/>
      <c r="V27" s="5"/>
      <c r="W27" s="5"/>
      <c r="X27" s="5"/>
      <c r="Y27" s="5"/>
      <c r="Z27" s="5"/>
      <c r="AA27" s="5"/>
    </row>
    <row r="28" spans="1:27" ht="16.2" thickBot="1" x14ac:dyDescent="0.35">
      <c r="A28" s="23" t="s">
        <v>178</v>
      </c>
      <c r="B28" s="14">
        <v>2.5299999999999998</v>
      </c>
      <c r="C28" s="14">
        <v>0.51</v>
      </c>
      <c r="D28" s="14">
        <v>1.6</v>
      </c>
      <c r="E28" s="14">
        <v>6.3</v>
      </c>
      <c r="F28" s="14">
        <v>17.899999999999999</v>
      </c>
      <c r="G28" s="14">
        <v>1.07</v>
      </c>
      <c r="H28" s="14">
        <v>16</v>
      </c>
      <c r="I28" s="14">
        <v>19.600000000000001</v>
      </c>
      <c r="J28" s="14">
        <v>1.08</v>
      </c>
      <c r="K28" s="14">
        <v>0.97</v>
      </c>
      <c r="L28" s="14">
        <v>0</v>
      </c>
      <c r="M28" s="14">
        <v>2.7</v>
      </c>
      <c r="N28" s="14">
        <v>60</v>
      </c>
      <c r="O28" s="14">
        <v>0</v>
      </c>
      <c r="P28" s="14">
        <v>60</v>
      </c>
      <c r="Q28" s="124">
        <v>60</v>
      </c>
      <c r="R28" s="131" t="s">
        <v>139</v>
      </c>
      <c r="S28" s="7"/>
      <c r="T28" s="5"/>
      <c r="U28" s="5"/>
      <c r="V28" s="5"/>
      <c r="W28" s="5"/>
      <c r="X28" s="5"/>
      <c r="Y28" s="5"/>
      <c r="Z28" s="5"/>
      <c r="AA28" s="5"/>
    </row>
    <row r="29" spans="1:27" ht="16.2" thickBot="1" x14ac:dyDescent="0.35">
      <c r="A29" s="176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8"/>
    </row>
    <row r="30" spans="1:27" x14ac:dyDescent="0.3">
      <c r="A30" s="167"/>
      <c r="B30" s="169" t="s">
        <v>0</v>
      </c>
      <c r="C30" s="170"/>
      <c r="D30" s="170"/>
      <c r="E30" s="170"/>
      <c r="F30" s="171" t="s">
        <v>1</v>
      </c>
      <c r="G30" s="171"/>
      <c r="H30" s="171"/>
      <c r="I30" s="171"/>
      <c r="J30" s="170" t="s">
        <v>2</v>
      </c>
      <c r="K30" s="170"/>
      <c r="L30" s="170"/>
      <c r="M30" s="170"/>
      <c r="N30" s="170" t="s">
        <v>3</v>
      </c>
      <c r="O30" s="170"/>
      <c r="P30" s="170"/>
      <c r="Q30" s="170"/>
      <c r="R30" s="131"/>
    </row>
    <row r="31" spans="1:27" x14ac:dyDescent="0.3">
      <c r="A31" s="168"/>
      <c r="B31" s="16" t="s">
        <v>4</v>
      </c>
      <c r="C31" s="11" t="s">
        <v>5</v>
      </c>
      <c r="D31" s="11" t="s">
        <v>6</v>
      </c>
      <c r="E31" s="11" t="s">
        <v>7</v>
      </c>
      <c r="F31" s="10" t="s">
        <v>4</v>
      </c>
      <c r="G31" s="11" t="s">
        <v>5</v>
      </c>
      <c r="H31" s="11" t="s">
        <v>6</v>
      </c>
      <c r="I31" s="11" t="s">
        <v>7</v>
      </c>
      <c r="J31" s="10" t="s">
        <v>4</v>
      </c>
      <c r="K31" s="11" t="s">
        <v>5</v>
      </c>
      <c r="L31" s="11" t="s">
        <v>6</v>
      </c>
      <c r="M31" s="11" t="s">
        <v>7</v>
      </c>
      <c r="N31" s="10" t="s">
        <v>4</v>
      </c>
      <c r="O31" s="11" t="s">
        <v>5</v>
      </c>
      <c r="P31" s="11" t="s">
        <v>6</v>
      </c>
      <c r="Q31" s="121" t="s">
        <v>7</v>
      </c>
      <c r="R31" s="131"/>
    </row>
    <row r="32" spans="1:27" x14ac:dyDescent="0.3">
      <c r="A32" s="115" t="s">
        <v>177</v>
      </c>
      <c r="B32" s="17">
        <v>1.1000000000000001</v>
      </c>
      <c r="C32" s="15">
        <v>0.88</v>
      </c>
      <c r="D32" s="15">
        <v>0.8</v>
      </c>
      <c r="E32" s="15">
        <v>16.600000000000001</v>
      </c>
      <c r="F32" s="15">
        <v>18.23</v>
      </c>
      <c r="G32" s="15">
        <v>0.15</v>
      </c>
      <c r="H32" s="15">
        <v>1.1000000000000001</v>
      </c>
      <c r="I32" s="15">
        <v>18.8</v>
      </c>
      <c r="J32" s="15">
        <v>1.83</v>
      </c>
      <c r="K32" s="15">
        <v>0.15</v>
      </c>
      <c r="L32" s="15">
        <v>1.7</v>
      </c>
      <c r="M32" s="15">
        <v>2.4</v>
      </c>
      <c r="N32" s="15">
        <v>59.41</v>
      </c>
      <c r="O32" s="15">
        <v>0.52</v>
      </c>
      <c r="P32" s="15">
        <v>56</v>
      </c>
      <c r="Q32" s="125">
        <v>56</v>
      </c>
      <c r="R32" s="131" t="s">
        <v>15</v>
      </c>
    </row>
    <row r="33" spans="1:27" x14ac:dyDescent="0.3">
      <c r="A33" s="115" t="s">
        <v>8</v>
      </c>
      <c r="B33" s="18">
        <v>1.1200000000000001</v>
      </c>
      <c r="C33" s="13">
        <v>0.21</v>
      </c>
      <c r="D33" s="13">
        <v>0.9</v>
      </c>
      <c r="E33" s="13">
        <v>2.2999999999999998</v>
      </c>
      <c r="F33" s="13">
        <v>100.37</v>
      </c>
      <c r="G33" s="13">
        <v>3.08</v>
      </c>
      <c r="H33" s="13">
        <v>99</v>
      </c>
      <c r="I33" s="13">
        <v>158.6</v>
      </c>
      <c r="J33" s="13">
        <v>0.17</v>
      </c>
      <c r="K33" s="13">
        <v>2.35</v>
      </c>
      <c r="L33" s="13">
        <v>0</v>
      </c>
      <c r="M33" s="13">
        <v>53.7</v>
      </c>
      <c r="N33" s="13">
        <v>59.19</v>
      </c>
      <c r="O33" s="13">
        <v>0.39</v>
      </c>
      <c r="P33" s="13">
        <v>59</v>
      </c>
      <c r="Q33" s="123">
        <v>60</v>
      </c>
      <c r="R33" s="131" t="s">
        <v>88</v>
      </c>
    </row>
    <row r="34" spans="1:27" x14ac:dyDescent="0.3">
      <c r="A34" s="115" t="s">
        <v>9</v>
      </c>
      <c r="B34" s="19">
        <v>21.25</v>
      </c>
      <c r="C34" s="20">
        <v>0.9</v>
      </c>
      <c r="D34" s="20">
        <v>13.6</v>
      </c>
      <c r="E34" s="20">
        <v>23.6</v>
      </c>
      <c r="F34" s="20">
        <v>249.97</v>
      </c>
      <c r="G34" s="20">
        <v>3.88</v>
      </c>
      <c r="H34" s="20">
        <v>242.5</v>
      </c>
      <c r="I34" s="20">
        <v>261.5</v>
      </c>
      <c r="J34" s="20">
        <v>139.37</v>
      </c>
      <c r="K34" s="20">
        <v>3.88</v>
      </c>
      <c r="L34" s="20">
        <v>131.9</v>
      </c>
      <c r="M34" s="20">
        <v>150.9</v>
      </c>
      <c r="N34" s="20">
        <v>60</v>
      </c>
      <c r="O34" s="20">
        <v>0</v>
      </c>
      <c r="P34" s="20">
        <v>60</v>
      </c>
      <c r="Q34" s="126">
        <v>60</v>
      </c>
      <c r="R34" s="131" t="s">
        <v>109</v>
      </c>
      <c r="S34" s="7"/>
      <c r="T34" s="5"/>
      <c r="U34" s="5"/>
      <c r="V34" s="5"/>
      <c r="W34" s="5"/>
      <c r="X34" s="5"/>
      <c r="Y34" s="5"/>
      <c r="Z34" s="5"/>
      <c r="AA34" s="5"/>
    </row>
    <row r="35" spans="1:27" s="3" customFormat="1" ht="16.2" thickBot="1" x14ac:dyDescent="0.35">
      <c r="A35" s="23" t="s">
        <v>178</v>
      </c>
      <c r="B35" s="21">
        <v>2.37</v>
      </c>
      <c r="C35" s="14">
        <v>0.43</v>
      </c>
      <c r="D35" s="14">
        <v>1.3</v>
      </c>
      <c r="E35" s="14">
        <v>3.6</v>
      </c>
      <c r="F35" s="14">
        <v>17.45</v>
      </c>
      <c r="G35" s="14">
        <v>0.81</v>
      </c>
      <c r="H35" s="14">
        <v>15.8</v>
      </c>
      <c r="I35" s="14">
        <v>18.899999999999999</v>
      </c>
      <c r="J35" s="14">
        <v>0.98</v>
      </c>
      <c r="K35" s="14">
        <v>0.76</v>
      </c>
      <c r="L35" s="14">
        <v>0</v>
      </c>
      <c r="M35" s="14">
        <v>2.4</v>
      </c>
      <c r="N35" s="14">
        <v>60</v>
      </c>
      <c r="O35" s="14">
        <v>0</v>
      </c>
      <c r="P35" s="14">
        <v>60</v>
      </c>
      <c r="Q35" s="124">
        <v>60</v>
      </c>
      <c r="R35" s="131" t="s">
        <v>147</v>
      </c>
      <c r="S35" s="8"/>
      <c r="T35" s="6"/>
      <c r="U35" s="6"/>
      <c r="V35" s="6"/>
      <c r="W35" s="6"/>
      <c r="X35" s="6"/>
      <c r="Y35" s="6"/>
      <c r="Z35" s="6"/>
      <c r="AA35" s="6"/>
    </row>
    <row r="36" spans="1:27" s="255" customFormat="1" ht="16.2" thickBot="1" x14ac:dyDescent="0.35">
      <c r="A36" s="254"/>
      <c r="Q36" s="256"/>
      <c r="R36" s="257"/>
      <c r="S36" s="258"/>
    </row>
    <row r="37" spans="1:27" ht="15.6" customHeight="1" x14ac:dyDescent="0.3">
      <c r="A37" s="179"/>
      <c r="B37" s="181" t="s">
        <v>0</v>
      </c>
      <c r="C37" s="182"/>
      <c r="D37" s="182"/>
      <c r="E37" s="183"/>
      <c r="F37" s="184" t="s">
        <v>1</v>
      </c>
      <c r="G37" s="185"/>
      <c r="H37" s="185"/>
      <c r="I37" s="186"/>
      <c r="J37" s="181" t="s">
        <v>2</v>
      </c>
      <c r="K37" s="182"/>
      <c r="L37" s="182"/>
      <c r="M37" s="183"/>
      <c r="N37" s="181" t="s">
        <v>3</v>
      </c>
      <c r="O37" s="182"/>
      <c r="P37" s="182"/>
      <c r="Q37" s="183"/>
    </row>
    <row r="38" spans="1:27" x14ac:dyDescent="0.3">
      <c r="A38" s="180"/>
      <c r="B38" s="67" t="s">
        <v>4</v>
      </c>
      <c r="C38" s="68" t="s">
        <v>172</v>
      </c>
      <c r="D38" s="68" t="s">
        <v>6</v>
      </c>
      <c r="E38" s="68" t="s">
        <v>7</v>
      </c>
      <c r="F38" s="68" t="s">
        <v>4</v>
      </c>
      <c r="G38" s="68" t="s">
        <v>172</v>
      </c>
      <c r="H38" s="68" t="s">
        <v>6</v>
      </c>
      <c r="I38" s="68" t="s">
        <v>7</v>
      </c>
      <c r="J38" s="68" t="s">
        <v>4</v>
      </c>
      <c r="K38" s="68" t="s">
        <v>172</v>
      </c>
      <c r="L38" s="68" t="s">
        <v>6</v>
      </c>
      <c r="M38" s="68" t="s">
        <v>7</v>
      </c>
      <c r="N38" s="68" t="s">
        <v>4</v>
      </c>
      <c r="O38" s="68" t="s">
        <v>172</v>
      </c>
      <c r="P38" s="68" t="s">
        <v>6</v>
      </c>
      <c r="Q38" s="128" t="s">
        <v>7</v>
      </c>
    </row>
    <row r="39" spans="1:27" x14ac:dyDescent="0.3">
      <c r="A39" s="115" t="s">
        <v>177</v>
      </c>
      <c r="B39" s="53">
        <f>AVERAGE(B4,B11,B18,B25,B32)</f>
        <v>1.1460000000000001</v>
      </c>
      <c r="C39" s="53">
        <f>_xlfn.STDEV.S(B4,B11,B18,B25,B32)</f>
        <v>0.12361229712289958</v>
      </c>
      <c r="D39" s="53">
        <f>MIN(D4,D11,D18,D25,D32)</f>
        <v>0.5</v>
      </c>
      <c r="E39" s="53">
        <f>MAX(E4,E11,E18,E25,E32)</f>
        <v>16.7</v>
      </c>
      <c r="F39" s="53">
        <f>AVERAGE(F4,F11,F18,F25,F32)</f>
        <v>18.346</v>
      </c>
      <c r="G39" s="53">
        <f>_xlfn.STDEV.S(F4,F11,F18,F25,F32)</f>
        <v>0.36390932936653336</v>
      </c>
      <c r="H39" s="53">
        <f>MIN(H4,H11,H18,H25,H32)</f>
        <v>1.1000000000000001</v>
      </c>
      <c r="I39" s="53">
        <f>MAX(I4,I11,I18,I25,I32)</f>
        <v>19.899999999999999</v>
      </c>
      <c r="J39" s="53">
        <f t="shared" ref="J39:N39" si="0">AVERAGE(J4,J11,J18,J25,J32)</f>
        <v>2.1059999999999999</v>
      </c>
      <c r="K39" s="53">
        <f>_xlfn.STDEV.S(J4,J11,J18,J25,J32)</f>
        <v>0.34861153165092057</v>
      </c>
      <c r="L39" s="53">
        <f>MIN(L4,L11,L18,L25,L32)</f>
        <v>1.7</v>
      </c>
      <c r="M39" s="53">
        <f>MAX(M4,M11,M18,M25,M32)</f>
        <v>3.5</v>
      </c>
      <c r="N39" s="53">
        <f t="shared" si="0"/>
        <v>59.317999999999998</v>
      </c>
      <c r="O39" s="53">
        <f>_xlfn.STDEV.S(N4,N11,N18,N25,N32)</f>
        <v>0.12397580409096115</v>
      </c>
      <c r="P39" s="53">
        <f>MIN(P4,P11,P18,P25,P32)</f>
        <v>56</v>
      </c>
      <c r="Q39" s="162">
        <f>MAX(Q4,Q11,Q18,Q25,Q32)</f>
        <v>60</v>
      </c>
    </row>
    <row r="40" spans="1:27" x14ac:dyDescent="0.3">
      <c r="A40" s="115" t="s">
        <v>8</v>
      </c>
      <c r="B40" s="53">
        <f t="shared" ref="B40:B42" si="1">AVERAGE(B5,B12,B19,B26,B33)</f>
        <v>1.1499999999999999</v>
      </c>
      <c r="C40" s="53">
        <f t="shared" ref="C40:C42" si="2">_xlfn.STDEV.S(B5,B12,B19,B26,B33)</f>
        <v>3.4641016151377484E-2</v>
      </c>
      <c r="D40" s="53">
        <f t="shared" ref="D40:D42" si="3">MIN(D5,D12,D19,D26,D33)</f>
        <v>0.6</v>
      </c>
      <c r="E40" s="53">
        <f t="shared" ref="E40:E42" si="4">MAX(E5,E12,E19,E26,E33)</f>
        <v>15.9</v>
      </c>
      <c r="F40" s="53">
        <f t="shared" ref="F40:F42" si="5">AVERAGE(F5,F12,F19,F26,F33)</f>
        <v>100.798</v>
      </c>
      <c r="G40" s="53">
        <f t="shared" ref="G40:G42" si="6">_xlfn.STDEV.S(F5,F12,F19,F26,F33)</f>
        <v>1.0970278027470388</v>
      </c>
      <c r="H40" s="53">
        <f t="shared" ref="H40:H42" si="7">MIN(H5,H12,H19,H26,H33)</f>
        <v>97.7</v>
      </c>
      <c r="I40" s="53">
        <f t="shared" ref="I40:I42" si="8">MAX(I5,I12,I19,I26,I33)</f>
        <v>163.6</v>
      </c>
      <c r="J40" s="53">
        <f t="shared" ref="J40:N42" si="9">AVERAGE(J5,J12,J19,J26,J33)</f>
        <v>0.158</v>
      </c>
      <c r="K40" s="53">
        <f t="shared" ref="K40:K42" si="10">_xlfn.STDEV.S(J5,J12,J19,J26,J33)</f>
        <v>3.5637059362410829E-2</v>
      </c>
      <c r="L40" s="53">
        <f t="shared" ref="L40:L42" si="11">MIN(L5,L12,L19,L26,L33)</f>
        <v>0</v>
      </c>
      <c r="M40" s="53">
        <f t="shared" ref="M40:M42" si="12">MAX(M5,M12,M19,M26,M33)</f>
        <v>53.8</v>
      </c>
      <c r="N40" s="53">
        <f t="shared" ref="N40" si="13">AVERAGE(N5,N12,N19,N26,N33)</f>
        <v>59.341999999999999</v>
      </c>
      <c r="O40" s="53">
        <f t="shared" ref="O40:O42" si="14">_xlfn.STDEV.S(N5,N12,N19,N26,N33)</f>
        <v>9.8336158151516945E-2</v>
      </c>
      <c r="P40" s="53">
        <f t="shared" ref="P40:P42" si="15">MIN(P5,P12,P19,P26,P33)</f>
        <v>57</v>
      </c>
      <c r="Q40" s="162">
        <f t="shared" ref="Q40:Q42" si="16">MAX(Q5,Q12,Q19,Q26,Q33)</f>
        <v>60</v>
      </c>
    </row>
    <row r="41" spans="1:27" x14ac:dyDescent="0.3">
      <c r="A41" s="115" t="s">
        <v>9</v>
      </c>
      <c r="B41" s="53">
        <f t="shared" si="1"/>
        <v>21.167999999999999</v>
      </c>
      <c r="C41" s="53">
        <f t="shared" si="2"/>
        <v>0.13535139452550851</v>
      </c>
      <c r="D41" s="53">
        <f t="shared" si="3"/>
        <v>12.1</v>
      </c>
      <c r="E41" s="53">
        <f t="shared" si="4"/>
        <v>24.4</v>
      </c>
      <c r="F41" s="53">
        <f t="shared" si="5"/>
        <v>248.81399999999999</v>
      </c>
      <c r="G41" s="53">
        <f t="shared" si="6"/>
        <v>1.3727636358820081</v>
      </c>
      <c r="H41" s="53">
        <f t="shared" si="7"/>
        <v>242.1</v>
      </c>
      <c r="I41" s="53">
        <f t="shared" si="8"/>
        <v>266.7</v>
      </c>
      <c r="J41" s="53">
        <f t="shared" si="9"/>
        <v>132.65400000000002</v>
      </c>
      <c r="K41" s="53">
        <f t="shared" si="10"/>
        <v>3.9820949260408209</v>
      </c>
      <c r="L41" s="53">
        <f t="shared" si="11"/>
        <v>124.5</v>
      </c>
      <c r="M41" s="53">
        <f t="shared" si="12"/>
        <v>150.9</v>
      </c>
      <c r="N41" s="53">
        <f t="shared" si="9"/>
        <v>60</v>
      </c>
      <c r="O41" s="53">
        <f t="shared" si="14"/>
        <v>0</v>
      </c>
      <c r="P41" s="53">
        <f t="shared" si="15"/>
        <v>60</v>
      </c>
      <c r="Q41" s="162">
        <f t="shared" si="16"/>
        <v>60</v>
      </c>
    </row>
    <row r="42" spans="1:27" ht="16.2" thickBot="1" x14ac:dyDescent="0.35">
      <c r="A42" s="23" t="s">
        <v>178</v>
      </c>
      <c r="B42" s="53">
        <f t="shared" si="1"/>
        <v>2.472</v>
      </c>
      <c r="C42" s="53">
        <f t="shared" si="2"/>
        <v>6.2209324059983077E-2</v>
      </c>
      <c r="D42" s="53">
        <f t="shared" si="3"/>
        <v>1.3</v>
      </c>
      <c r="E42" s="53">
        <f t="shared" si="4"/>
        <v>7.7</v>
      </c>
      <c r="F42" s="53">
        <f t="shared" si="5"/>
        <v>17.753999999999998</v>
      </c>
      <c r="G42" s="53">
        <f t="shared" si="6"/>
        <v>0.20255863348670156</v>
      </c>
      <c r="H42" s="53">
        <f t="shared" si="7"/>
        <v>15.8</v>
      </c>
      <c r="I42" s="53">
        <f t="shared" si="8"/>
        <v>19.600000000000001</v>
      </c>
      <c r="J42" s="53">
        <f t="shared" si="9"/>
        <v>1.1320000000000001</v>
      </c>
      <c r="K42" s="53">
        <f t="shared" si="10"/>
        <v>0.10034938963441679</v>
      </c>
      <c r="L42" s="53">
        <f t="shared" si="11"/>
        <v>0</v>
      </c>
      <c r="M42" s="53">
        <f t="shared" si="12"/>
        <v>2.7</v>
      </c>
      <c r="N42" s="53">
        <f t="shared" si="9"/>
        <v>60</v>
      </c>
      <c r="O42" s="53">
        <f t="shared" si="14"/>
        <v>0</v>
      </c>
      <c r="P42" s="53">
        <f t="shared" si="15"/>
        <v>59</v>
      </c>
      <c r="Q42" s="162">
        <f t="shared" si="16"/>
        <v>60</v>
      </c>
    </row>
    <row r="44" spans="1:27" x14ac:dyDescent="0.3">
      <c r="A44" s="135"/>
    </row>
  </sheetData>
  <mergeCells count="34">
    <mergeCell ref="A15:R15"/>
    <mergeCell ref="A8:R8"/>
    <mergeCell ref="A22:R22"/>
    <mergeCell ref="A29:R29"/>
    <mergeCell ref="A37:A38"/>
    <mergeCell ref="B37:E37"/>
    <mergeCell ref="F37:I37"/>
    <mergeCell ref="J37:M37"/>
    <mergeCell ref="N37:Q37"/>
    <mergeCell ref="A9:A10"/>
    <mergeCell ref="B9:E9"/>
    <mergeCell ref="F9:I9"/>
    <mergeCell ref="J9:M9"/>
    <mergeCell ref="N9:Q9"/>
    <mergeCell ref="A23:A24"/>
    <mergeCell ref="B23:E23"/>
    <mergeCell ref="A2:A3"/>
    <mergeCell ref="B2:E2"/>
    <mergeCell ref="F2:I2"/>
    <mergeCell ref="J2:M2"/>
    <mergeCell ref="N2:Q2"/>
    <mergeCell ref="F23:I23"/>
    <mergeCell ref="J23:M23"/>
    <mergeCell ref="N23:Q23"/>
    <mergeCell ref="A16:A17"/>
    <mergeCell ref="B16:E16"/>
    <mergeCell ref="F16:I16"/>
    <mergeCell ref="J16:M16"/>
    <mergeCell ref="N16:Q16"/>
    <mergeCell ref="A30:A31"/>
    <mergeCell ref="B30:E30"/>
    <mergeCell ref="F30:I30"/>
    <mergeCell ref="J30:M30"/>
    <mergeCell ref="N30:Q30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opLeftCell="A28" zoomScaleNormal="100" workbookViewId="0">
      <selection activeCell="D49" sqref="D49"/>
    </sheetView>
  </sheetViews>
  <sheetFormatPr defaultRowHeight="15.6" x14ac:dyDescent="0.3"/>
  <cols>
    <col min="1" max="1" width="21" style="110" customWidth="1"/>
    <col min="2" max="17" width="8.88671875" style="98"/>
    <col min="18" max="18" width="39" style="111" customWidth="1"/>
    <col min="19" max="16384" width="8.88671875" style="98"/>
  </cols>
  <sheetData>
    <row r="1" spans="1:27" ht="16.2" thickBot="1" x14ac:dyDescent="0.35">
      <c r="A1" s="96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97"/>
    </row>
    <row r="2" spans="1:27" x14ac:dyDescent="0.3">
      <c r="A2" s="187"/>
      <c r="B2" s="189" t="s">
        <v>0</v>
      </c>
      <c r="C2" s="189"/>
      <c r="D2" s="189"/>
      <c r="E2" s="189"/>
      <c r="F2" s="190" t="s">
        <v>1</v>
      </c>
      <c r="G2" s="190"/>
      <c r="H2" s="190"/>
      <c r="I2" s="190"/>
      <c r="J2" s="189" t="s">
        <v>2</v>
      </c>
      <c r="K2" s="189"/>
      <c r="L2" s="189"/>
      <c r="M2" s="189"/>
      <c r="N2" s="189" t="s">
        <v>3</v>
      </c>
      <c r="O2" s="189"/>
      <c r="P2" s="189"/>
      <c r="Q2" s="189"/>
      <c r="R2" s="99"/>
      <c r="S2" s="100"/>
    </row>
    <row r="3" spans="1:27" ht="15.6" customHeight="1" x14ac:dyDescent="0.3">
      <c r="A3" s="188"/>
      <c r="B3" s="27" t="s">
        <v>4</v>
      </c>
      <c r="C3" s="82" t="s">
        <v>5</v>
      </c>
      <c r="D3" s="82" t="s">
        <v>6</v>
      </c>
      <c r="E3" s="82" t="s">
        <v>7</v>
      </c>
      <c r="F3" s="27" t="s">
        <v>4</v>
      </c>
      <c r="G3" s="82" t="s">
        <v>5</v>
      </c>
      <c r="H3" s="82" t="s">
        <v>6</v>
      </c>
      <c r="I3" s="82" t="s">
        <v>7</v>
      </c>
      <c r="J3" s="27" t="s">
        <v>4</v>
      </c>
      <c r="K3" s="82" t="s">
        <v>5</v>
      </c>
      <c r="L3" s="82" t="s">
        <v>6</v>
      </c>
      <c r="M3" s="82" t="s">
        <v>7</v>
      </c>
      <c r="N3" s="27" t="s">
        <v>4</v>
      </c>
      <c r="O3" s="82" t="s">
        <v>5</v>
      </c>
      <c r="P3" s="82" t="s">
        <v>6</v>
      </c>
      <c r="Q3" s="82" t="s">
        <v>7</v>
      </c>
      <c r="R3" s="101"/>
      <c r="S3" s="100"/>
    </row>
    <row r="4" spans="1:27" x14ac:dyDescent="0.3">
      <c r="A4" s="115" t="s">
        <v>177</v>
      </c>
      <c r="B4" s="28">
        <v>6.7</v>
      </c>
      <c r="C4" s="28">
        <v>0.66</v>
      </c>
      <c r="D4" s="28">
        <v>5.0999999999999996</v>
      </c>
      <c r="E4" s="28">
        <v>8.4</v>
      </c>
      <c r="F4" s="28">
        <v>19.52</v>
      </c>
      <c r="G4" s="28">
        <v>0.17</v>
      </c>
      <c r="H4" s="28">
        <v>19.5</v>
      </c>
      <c r="I4" s="28">
        <v>22.4</v>
      </c>
      <c r="J4" s="28">
        <v>1.62</v>
      </c>
      <c r="K4" s="28">
        <v>0.17</v>
      </c>
      <c r="L4" s="28">
        <v>1.6</v>
      </c>
      <c r="M4" s="28">
        <v>4.5</v>
      </c>
      <c r="N4" s="28">
        <v>59.02</v>
      </c>
      <c r="O4" s="28">
        <v>0.14000000000000001</v>
      </c>
      <c r="P4" s="28">
        <v>59</v>
      </c>
      <c r="Q4" s="28">
        <v>60</v>
      </c>
      <c r="R4" s="102" t="s">
        <v>16</v>
      </c>
      <c r="S4" s="100"/>
    </row>
    <row r="5" spans="1:27" x14ac:dyDescent="0.3">
      <c r="A5" s="115" t="s">
        <v>8</v>
      </c>
      <c r="B5" s="28">
        <v>18.45</v>
      </c>
      <c r="C5" s="28">
        <v>0.9</v>
      </c>
      <c r="D5" s="28">
        <v>15.7</v>
      </c>
      <c r="E5" s="28">
        <v>21.1</v>
      </c>
      <c r="F5" s="28">
        <v>107</v>
      </c>
      <c r="G5" s="28">
        <v>0.26</v>
      </c>
      <c r="H5" s="28">
        <v>106.6</v>
      </c>
      <c r="I5" s="28">
        <v>110.3</v>
      </c>
      <c r="J5" s="28">
        <v>0.5</v>
      </c>
      <c r="K5" s="28">
        <v>0.26</v>
      </c>
      <c r="L5" s="28">
        <v>0.1</v>
      </c>
      <c r="M5" s="28">
        <v>3.8</v>
      </c>
      <c r="N5" s="28">
        <v>59</v>
      </c>
      <c r="O5" s="28">
        <v>0</v>
      </c>
      <c r="P5" s="28">
        <v>59</v>
      </c>
      <c r="Q5" s="28">
        <v>59</v>
      </c>
      <c r="R5" s="102" t="s">
        <v>17</v>
      </c>
      <c r="S5" s="100"/>
    </row>
    <row r="6" spans="1:27" ht="16.2" thickBot="1" x14ac:dyDescent="0.35">
      <c r="A6" s="115" t="s">
        <v>9</v>
      </c>
      <c r="B6" s="53">
        <v>22.33</v>
      </c>
      <c r="C6" s="53">
        <v>0.52</v>
      </c>
      <c r="D6" s="53">
        <v>20.7</v>
      </c>
      <c r="E6" s="53">
        <v>24.2</v>
      </c>
      <c r="F6" s="53">
        <v>110.69</v>
      </c>
      <c r="G6" s="53">
        <v>0.93</v>
      </c>
      <c r="H6" s="53">
        <v>109</v>
      </c>
      <c r="I6" s="53">
        <v>112.7</v>
      </c>
      <c r="J6" s="53">
        <v>0.68</v>
      </c>
      <c r="K6" s="53">
        <v>0.7</v>
      </c>
      <c r="L6" s="53">
        <v>0</v>
      </c>
      <c r="M6" s="53">
        <v>2.5</v>
      </c>
      <c r="N6" s="53">
        <v>60</v>
      </c>
      <c r="O6" s="53">
        <v>0</v>
      </c>
      <c r="P6" s="53">
        <v>60</v>
      </c>
      <c r="Q6" s="53">
        <v>60</v>
      </c>
      <c r="R6" s="101" t="s">
        <v>78</v>
      </c>
      <c r="S6" s="100"/>
    </row>
    <row r="7" spans="1:27" ht="16.2" thickBot="1" x14ac:dyDescent="0.35">
      <c r="A7" s="23" t="s">
        <v>178</v>
      </c>
      <c r="B7" s="132">
        <v>4.97</v>
      </c>
      <c r="C7" s="85">
        <v>0.62</v>
      </c>
      <c r="D7" s="85">
        <v>3.6</v>
      </c>
      <c r="E7" s="85">
        <v>7.2</v>
      </c>
      <c r="F7" s="85">
        <v>19.75</v>
      </c>
      <c r="G7" s="85">
        <v>0.75</v>
      </c>
      <c r="H7" s="85">
        <v>18.2</v>
      </c>
      <c r="I7" s="85">
        <v>20.9</v>
      </c>
      <c r="J7" s="85">
        <v>1.55</v>
      </c>
      <c r="K7" s="85">
        <v>0.75</v>
      </c>
      <c r="L7" s="85">
        <v>0</v>
      </c>
      <c r="M7" s="85">
        <v>2.7</v>
      </c>
      <c r="N7" s="85">
        <v>60</v>
      </c>
      <c r="O7" s="85">
        <v>0</v>
      </c>
      <c r="P7" s="85">
        <v>60</v>
      </c>
      <c r="Q7" s="85">
        <v>60</v>
      </c>
      <c r="R7" s="103" t="s">
        <v>117</v>
      </c>
      <c r="S7" s="104"/>
      <c r="T7" s="105"/>
      <c r="U7" s="105"/>
      <c r="V7" s="105"/>
      <c r="W7" s="105"/>
      <c r="X7" s="105"/>
      <c r="Y7" s="105"/>
      <c r="Z7" s="105"/>
      <c r="AA7" s="105"/>
    </row>
    <row r="8" spans="1:27" ht="16.2" thickBot="1" x14ac:dyDescent="0.35">
      <c r="A8" s="191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3"/>
    </row>
    <row r="9" spans="1:27" x14ac:dyDescent="0.3">
      <c r="A9" s="187"/>
      <c r="B9" s="189" t="s">
        <v>0</v>
      </c>
      <c r="C9" s="189"/>
      <c r="D9" s="189"/>
      <c r="E9" s="189"/>
      <c r="F9" s="190" t="s">
        <v>1</v>
      </c>
      <c r="G9" s="190"/>
      <c r="H9" s="190"/>
      <c r="I9" s="190"/>
      <c r="J9" s="189" t="s">
        <v>2</v>
      </c>
      <c r="K9" s="189"/>
      <c r="L9" s="189"/>
      <c r="M9" s="189"/>
      <c r="N9" s="189" t="s">
        <v>3</v>
      </c>
      <c r="O9" s="189"/>
      <c r="P9" s="189"/>
      <c r="Q9" s="189"/>
      <c r="R9" s="99"/>
      <c r="S9" s="100"/>
    </row>
    <row r="10" spans="1:27" x14ac:dyDescent="0.3">
      <c r="A10" s="188"/>
      <c r="B10" s="27" t="s">
        <v>4</v>
      </c>
      <c r="C10" s="82" t="s">
        <v>5</v>
      </c>
      <c r="D10" s="82" t="s">
        <v>6</v>
      </c>
      <c r="E10" s="82" t="s">
        <v>7</v>
      </c>
      <c r="F10" s="27" t="s">
        <v>4</v>
      </c>
      <c r="G10" s="82" t="s">
        <v>5</v>
      </c>
      <c r="H10" s="82" t="s">
        <v>6</v>
      </c>
      <c r="I10" s="82" t="s">
        <v>7</v>
      </c>
      <c r="J10" s="27" t="s">
        <v>4</v>
      </c>
      <c r="K10" s="82" t="s">
        <v>5</v>
      </c>
      <c r="L10" s="82" t="s">
        <v>6</v>
      </c>
      <c r="M10" s="82" t="s">
        <v>7</v>
      </c>
      <c r="N10" s="27" t="s">
        <v>4</v>
      </c>
      <c r="O10" s="82" t="s">
        <v>5</v>
      </c>
      <c r="P10" s="82" t="s">
        <v>6</v>
      </c>
      <c r="Q10" s="82" t="s">
        <v>7</v>
      </c>
      <c r="R10" s="101"/>
      <c r="S10" s="100"/>
    </row>
    <row r="11" spans="1:27" x14ac:dyDescent="0.3">
      <c r="A11" s="115" t="s">
        <v>177</v>
      </c>
      <c r="B11" s="87">
        <v>6.85</v>
      </c>
      <c r="C11" s="87">
        <v>0.64</v>
      </c>
      <c r="D11" s="87">
        <v>4.4000000000000004</v>
      </c>
      <c r="E11" s="87">
        <v>8.9</v>
      </c>
      <c r="F11" s="87">
        <v>19.399999999999999</v>
      </c>
      <c r="G11" s="87">
        <v>0.15</v>
      </c>
      <c r="H11" s="87">
        <v>19.3</v>
      </c>
      <c r="I11" s="87">
        <v>22</v>
      </c>
      <c r="J11" s="87">
        <v>1.8</v>
      </c>
      <c r="K11" s="87">
        <v>0.15</v>
      </c>
      <c r="L11" s="87">
        <v>1.7</v>
      </c>
      <c r="M11" s="87">
        <v>4.4000000000000004</v>
      </c>
      <c r="N11" s="87">
        <v>59.56</v>
      </c>
      <c r="O11" s="87">
        <v>0.5</v>
      </c>
      <c r="P11" s="87">
        <v>59</v>
      </c>
      <c r="Q11" s="87">
        <v>60</v>
      </c>
      <c r="R11" s="102" t="s">
        <v>18</v>
      </c>
      <c r="S11" s="100"/>
    </row>
    <row r="12" spans="1:27" x14ac:dyDescent="0.3">
      <c r="A12" s="115" t="s">
        <v>8</v>
      </c>
      <c r="B12" s="87">
        <v>18.27</v>
      </c>
      <c r="C12" s="87">
        <v>0.89</v>
      </c>
      <c r="D12" s="87">
        <v>15.4</v>
      </c>
      <c r="E12" s="87">
        <v>21.1</v>
      </c>
      <c r="F12" s="87">
        <v>106.98</v>
      </c>
      <c r="G12" s="87">
        <v>0.24</v>
      </c>
      <c r="H12" s="87">
        <v>106.5</v>
      </c>
      <c r="I12" s="87">
        <v>110</v>
      </c>
      <c r="J12" s="87">
        <v>0.02</v>
      </c>
      <c r="K12" s="87">
        <v>0.19</v>
      </c>
      <c r="L12" s="87">
        <v>0</v>
      </c>
      <c r="M12" s="87">
        <v>2.9</v>
      </c>
      <c r="N12" s="87">
        <v>59.89</v>
      </c>
      <c r="O12" s="87">
        <v>0.94</v>
      </c>
      <c r="P12" s="87">
        <v>46</v>
      </c>
      <c r="Q12" s="87">
        <v>60</v>
      </c>
      <c r="R12" s="102" t="s">
        <v>19</v>
      </c>
      <c r="S12" s="100"/>
    </row>
    <row r="13" spans="1:27" ht="16.2" thickBot="1" x14ac:dyDescent="0.35">
      <c r="A13" s="115" t="s">
        <v>9</v>
      </c>
      <c r="B13" s="53">
        <v>22.39</v>
      </c>
      <c r="C13" s="53">
        <v>0.7</v>
      </c>
      <c r="D13" s="53">
        <v>18.5</v>
      </c>
      <c r="E13" s="53">
        <v>25.3</v>
      </c>
      <c r="F13" s="53">
        <v>109.89</v>
      </c>
      <c r="G13" s="53">
        <v>0.48</v>
      </c>
      <c r="H13" s="53">
        <v>108.9</v>
      </c>
      <c r="I13" s="53">
        <v>110.7</v>
      </c>
      <c r="J13" s="53">
        <v>0.6</v>
      </c>
      <c r="K13" s="53">
        <v>0.45</v>
      </c>
      <c r="L13" s="53">
        <v>0</v>
      </c>
      <c r="M13" s="53">
        <v>1.4</v>
      </c>
      <c r="N13" s="53">
        <v>60</v>
      </c>
      <c r="O13" s="53">
        <v>0</v>
      </c>
      <c r="P13" s="53">
        <v>60</v>
      </c>
      <c r="Q13" s="53">
        <v>60</v>
      </c>
      <c r="R13" s="101" t="s">
        <v>90</v>
      </c>
      <c r="S13" s="100"/>
    </row>
    <row r="14" spans="1:27" ht="16.2" thickBot="1" x14ac:dyDescent="0.35">
      <c r="A14" s="23" t="s">
        <v>178</v>
      </c>
      <c r="B14" s="85">
        <v>4.58</v>
      </c>
      <c r="C14" s="85">
        <v>0.53</v>
      </c>
      <c r="D14" s="85">
        <v>3.5</v>
      </c>
      <c r="E14" s="85">
        <v>6.6</v>
      </c>
      <c r="F14" s="85">
        <v>19.5</v>
      </c>
      <c r="G14" s="85">
        <v>0.69</v>
      </c>
      <c r="H14" s="85">
        <v>18</v>
      </c>
      <c r="I14" s="85">
        <v>20.6</v>
      </c>
      <c r="J14" s="85">
        <v>1.4</v>
      </c>
      <c r="K14" s="85">
        <v>0.69</v>
      </c>
      <c r="L14" s="85">
        <v>0</v>
      </c>
      <c r="M14" s="85">
        <v>2.5</v>
      </c>
      <c r="N14" s="85">
        <v>60</v>
      </c>
      <c r="O14" s="85">
        <v>0</v>
      </c>
      <c r="P14" s="85">
        <v>60</v>
      </c>
      <c r="Q14" s="85">
        <v>60</v>
      </c>
      <c r="R14" s="103" t="s">
        <v>125</v>
      </c>
      <c r="S14" s="104"/>
      <c r="T14" s="105"/>
      <c r="U14" s="105"/>
      <c r="V14" s="105"/>
      <c r="W14" s="105"/>
      <c r="X14" s="105"/>
      <c r="Y14" s="105"/>
      <c r="Z14" s="105"/>
      <c r="AA14" s="105"/>
    </row>
    <row r="15" spans="1:27" ht="16.2" thickBot="1" x14ac:dyDescent="0.35">
      <c r="A15" s="191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3"/>
    </row>
    <row r="16" spans="1:27" x14ac:dyDescent="0.3">
      <c r="A16" s="187"/>
      <c r="B16" s="189" t="s">
        <v>0</v>
      </c>
      <c r="C16" s="189"/>
      <c r="D16" s="189"/>
      <c r="E16" s="189"/>
      <c r="F16" s="190" t="s">
        <v>1</v>
      </c>
      <c r="G16" s="190"/>
      <c r="H16" s="190"/>
      <c r="I16" s="190"/>
      <c r="J16" s="189" t="s">
        <v>2</v>
      </c>
      <c r="K16" s="189"/>
      <c r="L16" s="189"/>
      <c r="M16" s="189"/>
      <c r="N16" s="189" t="s">
        <v>3</v>
      </c>
      <c r="O16" s="189"/>
      <c r="P16" s="189"/>
      <c r="Q16" s="189"/>
      <c r="R16" s="99"/>
      <c r="S16" s="100"/>
    </row>
    <row r="17" spans="1:27" x14ac:dyDescent="0.3">
      <c r="A17" s="188"/>
      <c r="B17" s="27" t="s">
        <v>4</v>
      </c>
      <c r="C17" s="82" t="s">
        <v>5</v>
      </c>
      <c r="D17" s="82" t="s">
        <v>6</v>
      </c>
      <c r="E17" s="82" t="s">
        <v>7</v>
      </c>
      <c r="F17" s="27" t="s">
        <v>4</v>
      </c>
      <c r="G17" s="82" t="s">
        <v>5</v>
      </c>
      <c r="H17" s="82" t="s">
        <v>6</v>
      </c>
      <c r="I17" s="82" t="s">
        <v>7</v>
      </c>
      <c r="J17" s="27" t="s">
        <v>4</v>
      </c>
      <c r="K17" s="82" t="s">
        <v>5</v>
      </c>
      <c r="L17" s="82" t="s">
        <v>6</v>
      </c>
      <c r="M17" s="82" t="s">
        <v>7</v>
      </c>
      <c r="N17" s="27" t="s">
        <v>4</v>
      </c>
      <c r="O17" s="82" t="s">
        <v>5</v>
      </c>
      <c r="P17" s="82" t="s">
        <v>6</v>
      </c>
      <c r="Q17" s="82" t="s">
        <v>7</v>
      </c>
      <c r="R17" s="101"/>
      <c r="S17" s="100"/>
    </row>
    <row r="18" spans="1:27" x14ac:dyDescent="0.3">
      <c r="A18" s="115" t="s">
        <v>177</v>
      </c>
      <c r="B18" s="87">
        <v>6.92</v>
      </c>
      <c r="C18" s="87">
        <v>0.6</v>
      </c>
      <c r="D18" s="87">
        <v>5.7</v>
      </c>
      <c r="E18" s="87">
        <v>8.6</v>
      </c>
      <c r="F18" s="87">
        <v>19.420000000000002</v>
      </c>
      <c r="G18" s="87">
        <v>0.15</v>
      </c>
      <c r="H18" s="87">
        <v>19.399999999999999</v>
      </c>
      <c r="I18" s="87">
        <v>22</v>
      </c>
      <c r="J18" s="87">
        <v>2.42</v>
      </c>
      <c r="K18" s="87">
        <v>0.15</v>
      </c>
      <c r="L18" s="87">
        <v>2.4</v>
      </c>
      <c r="M18" s="87">
        <v>5</v>
      </c>
      <c r="N18" s="87">
        <v>59.53</v>
      </c>
      <c r="O18" s="87">
        <v>0.5</v>
      </c>
      <c r="P18" s="87">
        <v>59</v>
      </c>
      <c r="Q18" s="87">
        <v>60</v>
      </c>
      <c r="R18" s="102" t="s">
        <v>20</v>
      </c>
      <c r="S18" s="100"/>
    </row>
    <row r="19" spans="1:27" x14ac:dyDescent="0.3">
      <c r="A19" s="115" t="s">
        <v>8</v>
      </c>
      <c r="B19" s="87">
        <v>17.75</v>
      </c>
      <c r="C19" s="87">
        <v>0.99</v>
      </c>
      <c r="D19" s="87">
        <v>10.5</v>
      </c>
      <c r="E19" s="87">
        <v>20.5</v>
      </c>
      <c r="F19" s="87">
        <v>107.75</v>
      </c>
      <c r="G19" s="87">
        <v>0.2</v>
      </c>
      <c r="H19" s="87">
        <v>107.4</v>
      </c>
      <c r="I19" s="87">
        <v>110.5</v>
      </c>
      <c r="J19" s="87">
        <v>0.01</v>
      </c>
      <c r="K19" s="87">
        <v>0.1</v>
      </c>
      <c r="L19" s="87">
        <v>0</v>
      </c>
      <c r="M19" s="87">
        <v>1.7</v>
      </c>
      <c r="N19" s="87">
        <v>59</v>
      </c>
      <c r="O19" s="87">
        <v>0.06</v>
      </c>
      <c r="P19" s="87">
        <v>58</v>
      </c>
      <c r="Q19" s="87">
        <v>59</v>
      </c>
      <c r="R19" s="106" t="s">
        <v>54</v>
      </c>
      <c r="S19" s="100"/>
    </row>
    <row r="20" spans="1:27" ht="16.2" thickBot="1" x14ac:dyDescent="0.35">
      <c r="A20" s="115" t="s">
        <v>9</v>
      </c>
      <c r="B20" s="53">
        <v>22.45</v>
      </c>
      <c r="C20" s="53">
        <v>0.79</v>
      </c>
      <c r="D20" s="53">
        <v>18.7</v>
      </c>
      <c r="E20" s="53">
        <v>25.5</v>
      </c>
      <c r="F20" s="53">
        <v>110.64</v>
      </c>
      <c r="G20" s="53">
        <v>0.92</v>
      </c>
      <c r="H20" s="53">
        <v>109</v>
      </c>
      <c r="I20" s="53">
        <v>112.3</v>
      </c>
      <c r="J20" s="53">
        <v>0.57999999999999996</v>
      </c>
      <c r="K20" s="53">
        <v>0.64</v>
      </c>
      <c r="L20" s="53">
        <v>0</v>
      </c>
      <c r="M20" s="53">
        <v>2</v>
      </c>
      <c r="N20" s="53">
        <v>60</v>
      </c>
      <c r="O20" s="53">
        <v>0</v>
      </c>
      <c r="P20" s="53">
        <v>60</v>
      </c>
      <c r="Q20" s="53">
        <v>60</v>
      </c>
      <c r="R20" s="101" t="s">
        <v>97</v>
      </c>
      <c r="S20" s="100"/>
    </row>
    <row r="21" spans="1:27" s="52" customFormat="1" ht="16.2" thickBot="1" x14ac:dyDescent="0.35">
      <c r="A21" s="23" t="s">
        <v>178</v>
      </c>
      <c r="B21" s="85">
        <v>4.6900000000000004</v>
      </c>
      <c r="C21" s="85">
        <v>0.68</v>
      </c>
      <c r="D21" s="85">
        <v>3.3</v>
      </c>
      <c r="E21" s="85">
        <v>6.9</v>
      </c>
      <c r="F21" s="85">
        <v>19.7</v>
      </c>
      <c r="G21" s="85">
        <v>0.75</v>
      </c>
      <c r="H21" s="85">
        <v>18.100000000000001</v>
      </c>
      <c r="I21" s="85">
        <v>20.9</v>
      </c>
      <c r="J21" s="85">
        <v>1.6</v>
      </c>
      <c r="K21" s="85">
        <v>0.75</v>
      </c>
      <c r="L21" s="85">
        <v>0</v>
      </c>
      <c r="M21" s="85">
        <v>2.8</v>
      </c>
      <c r="N21" s="85">
        <v>60</v>
      </c>
      <c r="O21" s="85">
        <v>0</v>
      </c>
      <c r="P21" s="85">
        <v>60</v>
      </c>
      <c r="Q21" s="85">
        <v>60</v>
      </c>
      <c r="R21" s="103" t="s">
        <v>133</v>
      </c>
      <c r="S21" s="107"/>
      <c r="T21" s="108"/>
      <c r="U21" s="108"/>
      <c r="V21" s="108"/>
      <c r="W21" s="108"/>
      <c r="X21" s="108"/>
      <c r="Y21" s="108"/>
      <c r="Z21" s="108"/>
      <c r="AA21" s="108"/>
    </row>
    <row r="22" spans="1:27" ht="16.2" thickBot="1" x14ac:dyDescent="0.35">
      <c r="A22" s="191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3"/>
    </row>
    <row r="23" spans="1:27" x14ac:dyDescent="0.3">
      <c r="A23" s="187"/>
      <c r="B23" s="189" t="s">
        <v>0</v>
      </c>
      <c r="C23" s="189"/>
      <c r="D23" s="189"/>
      <c r="E23" s="189"/>
      <c r="F23" s="190" t="s">
        <v>1</v>
      </c>
      <c r="G23" s="190"/>
      <c r="H23" s="190"/>
      <c r="I23" s="190"/>
      <c r="J23" s="189" t="s">
        <v>2</v>
      </c>
      <c r="K23" s="189"/>
      <c r="L23" s="189"/>
      <c r="M23" s="189"/>
      <c r="N23" s="189" t="s">
        <v>3</v>
      </c>
      <c r="O23" s="189"/>
      <c r="P23" s="189"/>
      <c r="Q23" s="189"/>
      <c r="R23" s="99"/>
      <c r="S23" s="100"/>
    </row>
    <row r="24" spans="1:27" x14ac:dyDescent="0.3">
      <c r="A24" s="188"/>
      <c r="B24" s="27" t="s">
        <v>4</v>
      </c>
      <c r="C24" s="82" t="s">
        <v>5</v>
      </c>
      <c r="D24" s="82" t="s">
        <v>6</v>
      </c>
      <c r="E24" s="82" t="s">
        <v>7</v>
      </c>
      <c r="F24" s="27" t="s">
        <v>4</v>
      </c>
      <c r="G24" s="82" t="s">
        <v>5</v>
      </c>
      <c r="H24" s="82" t="s">
        <v>6</v>
      </c>
      <c r="I24" s="82" t="s">
        <v>7</v>
      </c>
      <c r="J24" s="27" t="s">
        <v>4</v>
      </c>
      <c r="K24" s="82" t="s">
        <v>5</v>
      </c>
      <c r="L24" s="82" t="s">
        <v>6</v>
      </c>
      <c r="M24" s="82" t="s">
        <v>7</v>
      </c>
      <c r="N24" s="27" t="s">
        <v>4</v>
      </c>
      <c r="O24" s="82" t="s">
        <v>5</v>
      </c>
      <c r="P24" s="82" t="s">
        <v>6</v>
      </c>
      <c r="Q24" s="82" t="s">
        <v>7</v>
      </c>
      <c r="R24" s="101"/>
      <c r="S24" s="100"/>
    </row>
    <row r="25" spans="1:27" x14ac:dyDescent="0.3">
      <c r="A25" s="115" t="s">
        <v>177</v>
      </c>
      <c r="B25" s="87">
        <v>6.79</v>
      </c>
      <c r="C25" s="87">
        <v>0.65</v>
      </c>
      <c r="D25" s="87">
        <v>3.4</v>
      </c>
      <c r="E25" s="87">
        <v>8.3000000000000007</v>
      </c>
      <c r="F25" s="87">
        <v>19.32</v>
      </c>
      <c r="G25" s="87">
        <v>0.16</v>
      </c>
      <c r="H25" s="87">
        <v>19.3</v>
      </c>
      <c r="I25" s="87">
        <v>22</v>
      </c>
      <c r="J25" s="87">
        <v>2.12</v>
      </c>
      <c r="K25" s="87">
        <v>0.16</v>
      </c>
      <c r="L25" s="87">
        <v>2.1</v>
      </c>
      <c r="M25" s="87">
        <v>4.8</v>
      </c>
      <c r="N25" s="87">
        <v>59.67</v>
      </c>
      <c r="O25" s="87">
        <v>0.47</v>
      </c>
      <c r="P25" s="87">
        <v>59</v>
      </c>
      <c r="Q25" s="87">
        <v>60</v>
      </c>
      <c r="R25" s="102" t="s">
        <v>21</v>
      </c>
      <c r="S25" s="100"/>
    </row>
    <row r="26" spans="1:27" ht="16.2" thickBot="1" x14ac:dyDescent="0.35">
      <c r="A26" s="115" t="s">
        <v>8</v>
      </c>
      <c r="B26" s="53">
        <v>18.96</v>
      </c>
      <c r="C26" s="53">
        <v>0.91</v>
      </c>
      <c r="D26" s="53">
        <v>17.2</v>
      </c>
      <c r="E26" s="53">
        <v>22.1</v>
      </c>
      <c r="F26" s="53">
        <v>107.46</v>
      </c>
      <c r="G26" s="53">
        <v>0.26</v>
      </c>
      <c r="H26" s="53">
        <v>106.8</v>
      </c>
      <c r="I26" s="53">
        <v>110.3</v>
      </c>
      <c r="J26" s="53">
        <v>0.28000000000000003</v>
      </c>
      <c r="K26" s="53">
        <v>0.23</v>
      </c>
      <c r="L26" s="53">
        <v>0</v>
      </c>
      <c r="M26" s="53">
        <v>3.1</v>
      </c>
      <c r="N26" s="53">
        <v>59</v>
      </c>
      <c r="O26" s="53">
        <v>0</v>
      </c>
      <c r="P26" s="53">
        <v>59</v>
      </c>
      <c r="Q26" s="53">
        <v>59</v>
      </c>
      <c r="R26" s="101" t="s">
        <v>61</v>
      </c>
      <c r="S26" s="100"/>
    </row>
    <row r="27" spans="1:27" ht="31.8" thickBot="1" x14ac:dyDescent="0.35">
      <c r="A27" s="115" t="s">
        <v>9</v>
      </c>
      <c r="B27" s="90">
        <v>24.08</v>
      </c>
      <c r="C27" s="90">
        <v>1.02</v>
      </c>
      <c r="D27" s="90">
        <v>17.3</v>
      </c>
      <c r="E27" s="90">
        <v>27.1</v>
      </c>
      <c r="F27" s="90">
        <v>110.54</v>
      </c>
      <c r="G27" s="90">
        <v>0.92</v>
      </c>
      <c r="H27" s="90">
        <v>108.9</v>
      </c>
      <c r="I27" s="90">
        <v>112.2</v>
      </c>
      <c r="J27" s="90">
        <v>0.59</v>
      </c>
      <c r="K27" s="90">
        <v>0.64</v>
      </c>
      <c r="L27" s="90">
        <v>0</v>
      </c>
      <c r="M27" s="90">
        <v>2</v>
      </c>
      <c r="N27" s="90">
        <v>60</v>
      </c>
      <c r="O27" s="90">
        <v>0</v>
      </c>
      <c r="P27" s="90">
        <v>60</v>
      </c>
      <c r="Q27" s="90">
        <v>60</v>
      </c>
      <c r="R27" s="109" t="s">
        <v>107</v>
      </c>
      <c r="S27" s="104"/>
      <c r="T27" s="105"/>
      <c r="U27" s="105"/>
      <c r="V27" s="105"/>
      <c r="W27" s="105"/>
      <c r="X27" s="105"/>
      <c r="Y27" s="105"/>
      <c r="Z27" s="105"/>
      <c r="AA27" s="105"/>
    </row>
    <row r="28" spans="1:27" s="52" customFormat="1" ht="16.2" thickBot="1" x14ac:dyDescent="0.35">
      <c r="A28" s="23" t="s">
        <v>178</v>
      </c>
      <c r="B28" s="85">
        <v>4.88</v>
      </c>
      <c r="C28" s="85">
        <v>0.59</v>
      </c>
      <c r="D28" s="85">
        <v>3.1</v>
      </c>
      <c r="E28" s="85">
        <v>7.5</v>
      </c>
      <c r="F28" s="85">
        <v>19.579999999999998</v>
      </c>
      <c r="G28" s="85">
        <v>0.77</v>
      </c>
      <c r="H28" s="85">
        <v>18</v>
      </c>
      <c r="I28" s="85">
        <v>20.7</v>
      </c>
      <c r="J28" s="85">
        <v>1.68</v>
      </c>
      <c r="K28" s="85">
        <v>0.77</v>
      </c>
      <c r="L28" s="85">
        <v>0.1</v>
      </c>
      <c r="M28" s="85">
        <v>2.8</v>
      </c>
      <c r="N28" s="85">
        <v>60</v>
      </c>
      <c r="O28" s="85">
        <v>0</v>
      </c>
      <c r="P28" s="85">
        <v>60</v>
      </c>
      <c r="Q28" s="85">
        <v>60</v>
      </c>
      <c r="R28" s="103" t="s">
        <v>140</v>
      </c>
      <c r="S28" s="104"/>
      <c r="T28" s="105"/>
      <c r="U28" s="105"/>
      <c r="V28" s="105"/>
      <c r="W28" s="105"/>
      <c r="X28" s="105"/>
      <c r="Y28" s="105"/>
      <c r="Z28" s="105"/>
      <c r="AA28" s="105"/>
    </row>
    <row r="29" spans="1:27" ht="16.2" thickBot="1" x14ac:dyDescent="0.35">
      <c r="A29" s="191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3"/>
    </row>
    <row r="30" spans="1:27" x14ac:dyDescent="0.3">
      <c r="A30" s="187"/>
      <c r="B30" s="189" t="s">
        <v>0</v>
      </c>
      <c r="C30" s="189"/>
      <c r="D30" s="189"/>
      <c r="E30" s="189"/>
      <c r="F30" s="190" t="s">
        <v>1</v>
      </c>
      <c r="G30" s="190"/>
      <c r="H30" s="190"/>
      <c r="I30" s="190"/>
      <c r="J30" s="189" t="s">
        <v>2</v>
      </c>
      <c r="K30" s="189"/>
      <c r="L30" s="189"/>
      <c r="M30" s="189"/>
      <c r="N30" s="189" t="s">
        <v>3</v>
      </c>
      <c r="O30" s="189"/>
      <c r="P30" s="189"/>
      <c r="Q30" s="189"/>
      <c r="R30" s="99"/>
      <c r="S30" s="100"/>
    </row>
    <row r="31" spans="1:27" x14ac:dyDescent="0.3">
      <c r="A31" s="188"/>
      <c r="B31" s="27" t="s">
        <v>4</v>
      </c>
      <c r="C31" s="82" t="s">
        <v>5</v>
      </c>
      <c r="D31" s="82" t="s">
        <v>6</v>
      </c>
      <c r="E31" s="82" t="s">
        <v>7</v>
      </c>
      <c r="F31" s="27" t="s">
        <v>4</v>
      </c>
      <c r="G31" s="82" t="s">
        <v>5</v>
      </c>
      <c r="H31" s="82" t="s">
        <v>6</v>
      </c>
      <c r="I31" s="82" t="s">
        <v>7</v>
      </c>
      <c r="J31" s="27" t="s">
        <v>4</v>
      </c>
      <c r="K31" s="82" t="s">
        <v>5</v>
      </c>
      <c r="L31" s="82" t="s">
        <v>6</v>
      </c>
      <c r="M31" s="82" t="s">
        <v>7</v>
      </c>
      <c r="N31" s="27" t="s">
        <v>4</v>
      </c>
      <c r="O31" s="82" t="s">
        <v>5</v>
      </c>
      <c r="P31" s="82" t="s">
        <v>6</v>
      </c>
      <c r="Q31" s="82" t="s">
        <v>7</v>
      </c>
      <c r="R31" s="101"/>
      <c r="S31" s="100"/>
    </row>
    <row r="32" spans="1:27" x14ac:dyDescent="0.3">
      <c r="A32" s="115" t="s">
        <v>177</v>
      </c>
      <c r="B32" s="87">
        <v>6.65</v>
      </c>
      <c r="C32" s="87">
        <v>0.66</v>
      </c>
      <c r="D32" s="87">
        <v>2.7</v>
      </c>
      <c r="E32" s="87">
        <v>8.1</v>
      </c>
      <c r="F32" s="87">
        <v>19.32</v>
      </c>
      <c r="G32" s="87">
        <v>0.16</v>
      </c>
      <c r="H32" s="87">
        <v>79.3</v>
      </c>
      <c r="I32" s="87">
        <v>22</v>
      </c>
      <c r="J32" s="87">
        <v>2.3199999999999998</v>
      </c>
      <c r="K32" s="87">
        <v>0.16</v>
      </c>
      <c r="L32" s="87">
        <v>2.2999999999999998</v>
      </c>
      <c r="M32" s="87">
        <v>5</v>
      </c>
      <c r="N32" s="87">
        <v>59</v>
      </c>
      <c r="O32" s="87">
        <v>0</v>
      </c>
      <c r="P32" s="87">
        <v>59</v>
      </c>
      <c r="Q32" s="87">
        <v>59</v>
      </c>
      <c r="R32" s="102" t="s">
        <v>22</v>
      </c>
      <c r="S32" s="100"/>
    </row>
    <row r="33" spans="1:27" ht="16.2" thickBot="1" x14ac:dyDescent="0.35">
      <c r="A33" s="115" t="s">
        <v>8</v>
      </c>
      <c r="B33" s="53">
        <v>19.34</v>
      </c>
      <c r="C33" s="53">
        <v>1.04</v>
      </c>
      <c r="D33" s="53">
        <v>13.4</v>
      </c>
      <c r="E33" s="53">
        <v>22.5</v>
      </c>
      <c r="F33" s="53">
        <v>107.25</v>
      </c>
      <c r="G33" s="53">
        <v>0.22</v>
      </c>
      <c r="H33" s="53">
        <v>107</v>
      </c>
      <c r="I33" s="53">
        <v>110.3</v>
      </c>
      <c r="J33" s="53">
        <v>0.45</v>
      </c>
      <c r="K33" s="53">
        <v>0.22</v>
      </c>
      <c r="L33" s="53">
        <v>0.2</v>
      </c>
      <c r="M33" s="53">
        <v>3.5</v>
      </c>
      <c r="N33" s="53">
        <v>59.2</v>
      </c>
      <c r="O33" s="53">
        <v>0.4</v>
      </c>
      <c r="P33" s="53">
        <v>59</v>
      </c>
      <c r="Q33" s="53">
        <v>60</v>
      </c>
      <c r="R33" s="101" t="s">
        <v>84</v>
      </c>
      <c r="S33" s="100"/>
    </row>
    <row r="34" spans="1:27" ht="31.8" thickBot="1" x14ac:dyDescent="0.35">
      <c r="A34" s="115" t="s">
        <v>9</v>
      </c>
      <c r="B34" s="90">
        <v>22.57</v>
      </c>
      <c r="C34" s="90">
        <v>0.73</v>
      </c>
      <c r="D34" s="90">
        <v>14.7</v>
      </c>
      <c r="E34" s="90">
        <v>25.1</v>
      </c>
      <c r="F34" s="90">
        <v>109.54</v>
      </c>
      <c r="G34" s="90">
        <v>0.48</v>
      </c>
      <c r="H34" s="90">
        <v>108.7</v>
      </c>
      <c r="I34" s="90">
        <v>110.4</v>
      </c>
      <c r="J34" s="90">
        <v>0.49</v>
      </c>
      <c r="K34" s="90">
        <v>0.42</v>
      </c>
      <c r="L34" s="90">
        <v>0</v>
      </c>
      <c r="M34" s="90">
        <v>1.3</v>
      </c>
      <c r="N34" s="90">
        <v>60</v>
      </c>
      <c r="O34" s="90">
        <v>0</v>
      </c>
      <c r="P34" s="90">
        <v>60</v>
      </c>
      <c r="Q34" s="90">
        <v>60</v>
      </c>
      <c r="R34" s="109" t="s">
        <v>110</v>
      </c>
      <c r="S34" s="104"/>
      <c r="T34" s="105"/>
      <c r="U34" s="105"/>
      <c r="V34" s="105"/>
      <c r="W34" s="105"/>
      <c r="X34" s="105"/>
      <c r="Y34" s="105"/>
      <c r="Z34" s="105"/>
      <c r="AA34" s="105"/>
    </row>
    <row r="35" spans="1:27" s="140" customFormat="1" x14ac:dyDescent="0.3">
      <c r="A35" s="163" t="s">
        <v>178</v>
      </c>
      <c r="B35" s="145">
        <v>5.46</v>
      </c>
      <c r="C35" s="145">
        <v>0.67</v>
      </c>
      <c r="D35" s="145">
        <v>4.3</v>
      </c>
      <c r="E35" s="145">
        <v>7.8</v>
      </c>
      <c r="F35" s="145">
        <v>19.670000000000002</v>
      </c>
      <c r="G35" s="145">
        <v>0.74</v>
      </c>
      <c r="H35" s="145">
        <v>18</v>
      </c>
      <c r="I35" s="145">
        <v>20.8</v>
      </c>
      <c r="J35" s="145">
        <v>1.57</v>
      </c>
      <c r="K35" s="145">
        <v>0.74</v>
      </c>
      <c r="L35" s="145">
        <v>0</v>
      </c>
      <c r="M35" s="145">
        <v>2.7</v>
      </c>
      <c r="N35" s="145">
        <v>60</v>
      </c>
      <c r="O35" s="145">
        <v>0</v>
      </c>
      <c r="P35" s="145">
        <v>60</v>
      </c>
      <c r="Q35" s="145">
        <v>60</v>
      </c>
      <c r="R35" s="164" t="s">
        <v>148</v>
      </c>
      <c r="S35" s="165"/>
      <c r="T35" s="166"/>
      <c r="U35" s="166"/>
      <c r="V35" s="166"/>
      <c r="W35" s="166"/>
      <c r="X35" s="166"/>
      <c r="Y35" s="166"/>
      <c r="Z35" s="166"/>
      <c r="AA35" s="166"/>
    </row>
    <row r="36" spans="1:27" s="260" customFormat="1" ht="16.2" thickBot="1" x14ac:dyDescent="0.35">
      <c r="A36" s="259"/>
      <c r="R36" s="261"/>
    </row>
    <row r="37" spans="1:27" ht="15.6" customHeight="1" x14ac:dyDescent="0.3">
      <c r="A37" s="179"/>
      <c r="B37" s="181" t="s">
        <v>0</v>
      </c>
      <c r="C37" s="182"/>
      <c r="D37" s="182"/>
      <c r="E37" s="183"/>
      <c r="F37" s="184" t="s">
        <v>1</v>
      </c>
      <c r="G37" s="185"/>
      <c r="H37" s="185"/>
      <c r="I37" s="186"/>
      <c r="J37" s="181" t="s">
        <v>2</v>
      </c>
      <c r="K37" s="182"/>
      <c r="L37" s="182"/>
      <c r="M37" s="183"/>
      <c r="N37" s="181" t="s">
        <v>3</v>
      </c>
      <c r="O37" s="182"/>
      <c r="P37" s="182"/>
      <c r="Q37" s="183"/>
    </row>
    <row r="38" spans="1:27" x14ac:dyDescent="0.3">
      <c r="A38" s="180"/>
      <c r="B38" s="67" t="s">
        <v>4</v>
      </c>
      <c r="C38" s="68" t="s">
        <v>172</v>
      </c>
      <c r="D38" s="68" t="s">
        <v>6</v>
      </c>
      <c r="E38" s="68" t="s">
        <v>7</v>
      </c>
      <c r="F38" s="68" t="s">
        <v>4</v>
      </c>
      <c r="G38" s="68" t="s">
        <v>172</v>
      </c>
      <c r="H38" s="68" t="s">
        <v>6</v>
      </c>
      <c r="I38" s="68" t="s">
        <v>7</v>
      </c>
      <c r="J38" s="68" t="s">
        <v>4</v>
      </c>
      <c r="K38" s="68" t="s">
        <v>172</v>
      </c>
      <c r="L38" s="68" t="s">
        <v>6</v>
      </c>
      <c r="M38" s="68" t="s">
        <v>7</v>
      </c>
      <c r="N38" s="68" t="s">
        <v>4</v>
      </c>
      <c r="O38" s="68" t="s">
        <v>172</v>
      </c>
      <c r="P38" s="68" t="s">
        <v>6</v>
      </c>
      <c r="Q38" s="68" t="s">
        <v>7</v>
      </c>
    </row>
    <row r="39" spans="1:27" x14ac:dyDescent="0.3">
      <c r="A39" s="115" t="s">
        <v>177</v>
      </c>
      <c r="B39" s="53">
        <f>AVERAGE(B4,B11,B18,B25,B32)</f>
        <v>6.7819999999999991</v>
      </c>
      <c r="C39" s="53">
        <f>_xlfn.STDEV.S(B4,B11,B18,B25,B32)</f>
        <v>0.10940749517286259</v>
      </c>
      <c r="D39" s="53">
        <f>MIN(D4,D11,D18,D25,D32)</f>
        <v>2.7</v>
      </c>
      <c r="E39" s="53">
        <f>MAX(E4,E11,E18,E25,E32)</f>
        <v>8.9</v>
      </c>
      <c r="F39" s="53">
        <f t="shared" ref="F39:N39" si="0">AVERAGE(F4,F11,F18,F25,F32)</f>
        <v>19.395999999999997</v>
      </c>
      <c r="G39" s="53">
        <f>_xlfn.STDEV.S(F4,F11,F18,F25,F32)</f>
        <v>8.294576541331071E-2</v>
      </c>
      <c r="H39" s="53">
        <f>MIN(H4,H11,H18,H25,H32)</f>
        <v>19.3</v>
      </c>
      <c r="I39" s="53">
        <f>MAX(I4,I11,I18,I25,I32)</f>
        <v>22.4</v>
      </c>
      <c r="J39" s="53">
        <f t="shared" si="0"/>
        <v>2.056</v>
      </c>
      <c r="K39" s="53">
        <f>_xlfn.STDEV.S(J4,J11,J18,J25,J32)</f>
        <v>0.33982348359111614</v>
      </c>
      <c r="L39" s="53">
        <f>MIN(L4,L11,L18,L25,L32)</f>
        <v>1.6</v>
      </c>
      <c r="M39" s="53">
        <f>MAX(M4,M11,M18,M25,M32)</f>
        <v>5</v>
      </c>
      <c r="N39" s="53">
        <f t="shared" si="0"/>
        <v>59.356000000000009</v>
      </c>
      <c r="O39" s="53">
        <f>_xlfn.STDEV.S(N4,N11,N18,N25,N32)</f>
        <v>0.32020306057250619</v>
      </c>
      <c r="P39" s="53">
        <f>MIN(P4,P11,P18,P25,P32)</f>
        <v>59</v>
      </c>
      <c r="Q39" s="53">
        <f>MAX(Q4,Q11,Q18,Q25,Q32)</f>
        <v>60</v>
      </c>
    </row>
    <row r="40" spans="1:27" x14ac:dyDescent="0.3">
      <c r="A40" s="115" t="s">
        <v>8</v>
      </c>
      <c r="B40" s="53">
        <f t="shared" ref="B40:N42" si="1">AVERAGE(B5,B12,B19,B26,B33)</f>
        <v>18.554000000000002</v>
      </c>
      <c r="C40" s="53">
        <f t="shared" ref="C40:C42" si="2">_xlfn.STDEV.S(B5,B12,B19,B26,B33)</f>
        <v>0.61654683520394471</v>
      </c>
      <c r="D40" s="53">
        <f t="shared" ref="D40:D42" si="3">MIN(D5,D12,D19,D26,D33)</f>
        <v>10.5</v>
      </c>
      <c r="E40" s="53">
        <f t="shared" ref="E40:E42" si="4">MAX(E5,E12,E19,E26,E33)</f>
        <v>22.5</v>
      </c>
      <c r="F40" s="53">
        <f t="shared" si="1"/>
        <v>107.28800000000001</v>
      </c>
      <c r="G40" s="53">
        <f t="shared" ref="G40:G42" si="5">_xlfn.STDEV.S(F5,F12,F19,F26,F33)</f>
        <v>0.32491537359749362</v>
      </c>
      <c r="H40" s="53">
        <f t="shared" ref="H40:H42" si="6">MIN(H5,H12,H19,H26,H33)</f>
        <v>106.5</v>
      </c>
      <c r="I40" s="53">
        <f t="shared" ref="I40:I42" si="7">MAX(I5,I12,I19,I26,I33)</f>
        <v>110.5</v>
      </c>
      <c r="J40" s="53">
        <f t="shared" si="1"/>
        <v>0.252</v>
      </c>
      <c r="K40" s="53">
        <f t="shared" ref="K40:K42" si="8">_xlfn.STDEV.S(J5,J12,J19,J26,J33)</f>
        <v>0.23123581037546934</v>
      </c>
      <c r="L40" s="53">
        <f t="shared" ref="L40:L41" si="9">MIN(L5,L12,L19,L26,L33)</f>
        <v>0</v>
      </c>
      <c r="M40" s="53">
        <f t="shared" ref="M40:M42" si="10">MAX(M5,M12,M19,M26,M33)</f>
        <v>3.8</v>
      </c>
      <c r="N40" s="53">
        <f t="shared" si="1"/>
        <v>59.217999999999996</v>
      </c>
      <c r="O40" s="53">
        <f t="shared" ref="O40:O42" si="11">_xlfn.STDEV.S(N5,N12,N19,N26,N33)</f>
        <v>0.38551264570698607</v>
      </c>
      <c r="P40" s="53">
        <f t="shared" ref="P40:P42" si="12">MIN(P5,P12,P19,P26,P33)</f>
        <v>46</v>
      </c>
      <c r="Q40" s="53">
        <f t="shared" ref="Q40:Q42" si="13">MAX(Q5,Q12,Q19,Q26,Q33)</f>
        <v>60</v>
      </c>
    </row>
    <row r="41" spans="1:27" x14ac:dyDescent="0.3">
      <c r="A41" s="115" t="s">
        <v>9</v>
      </c>
      <c r="B41" s="53">
        <f t="shared" si="1"/>
        <v>22.763999999999999</v>
      </c>
      <c r="C41" s="53">
        <f t="shared" si="2"/>
        <v>0.74099932523585965</v>
      </c>
      <c r="D41" s="53">
        <f t="shared" si="3"/>
        <v>14.7</v>
      </c>
      <c r="E41" s="53">
        <f t="shared" si="4"/>
        <v>27.1</v>
      </c>
      <c r="F41" s="53">
        <f t="shared" si="1"/>
        <v>110.25999999999999</v>
      </c>
      <c r="G41" s="53">
        <f t="shared" si="5"/>
        <v>0.51550945675127835</v>
      </c>
      <c r="H41" s="53">
        <f t="shared" si="6"/>
        <v>108.7</v>
      </c>
      <c r="I41" s="53">
        <f t="shared" si="7"/>
        <v>112.7</v>
      </c>
      <c r="J41" s="53">
        <f t="shared" si="1"/>
        <v>0.58799999999999986</v>
      </c>
      <c r="K41" s="53">
        <f t="shared" si="8"/>
        <v>6.7601775124622829E-2</v>
      </c>
      <c r="L41" s="53">
        <f t="shared" si="9"/>
        <v>0</v>
      </c>
      <c r="M41" s="53">
        <f t="shared" si="10"/>
        <v>2.5</v>
      </c>
      <c r="N41" s="53">
        <f t="shared" si="1"/>
        <v>60</v>
      </c>
      <c r="O41" s="53">
        <f t="shared" si="11"/>
        <v>0</v>
      </c>
      <c r="P41" s="53">
        <f t="shared" si="12"/>
        <v>60</v>
      </c>
      <c r="Q41" s="53">
        <f t="shared" si="13"/>
        <v>60</v>
      </c>
    </row>
    <row r="42" spans="1:27" ht="16.2" thickBot="1" x14ac:dyDescent="0.35">
      <c r="A42" s="23" t="s">
        <v>178</v>
      </c>
      <c r="B42" s="53">
        <f t="shared" si="1"/>
        <v>4.9160000000000004</v>
      </c>
      <c r="C42" s="53">
        <f t="shared" si="2"/>
        <v>0.34063176598784783</v>
      </c>
      <c r="D42" s="53">
        <f t="shared" si="3"/>
        <v>3.1</v>
      </c>
      <c r="E42" s="53">
        <f t="shared" si="4"/>
        <v>7.8</v>
      </c>
      <c r="F42" s="53">
        <f t="shared" si="1"/>
        <v>19.64</v>
      </c>
      <c r="G42" s="53">
        <f t="shared" si="5"/>
        <v>9.9749686716300287E-2</v>
      </c>
      <c r="H42" s="53">
        <f t="shared" si="6"/>
        <v>18</v>
      </c>
      <c r="I42" s="53">
        <f t="shared" si="7"/>
        <v>20.9</v>
      </c>
      <c r="J42" s="53">
        <f t="shared" si="1"/>
        <v>1.56</v>
      </c>
      <c r="K42" s="53">
        <f t="shared" si="8"/>
        <v>0.1022252415013044</v>
      </c>
      <c r="L42" s="53">
        <f>MIN(L7,L14,L21,L28,L35)</f>
        <v>0</v>
      </c>
      <c r="M42" s="53">
        <f t="shared" si="10"/>
        <v>2.8</v>
      </c>
      <c r="N42" s="53">
        <f t="shared" si="1"/>
        <v>60</v>
      </c>
      <c r="O42" s="53">
        <f t="shared" si="11"/>
        <v>0</v>
      </c>
      <c r="P42" s="53">
        <f t="shared" si="12"/>
        <v>60</v>
      </c>
      <c r="Q42" s="53">
        <f t="shared" si="13"/>
        <v>60</v>
      </c>
    </row>
  </sheetData>
  <mergeCells count="34">
    <mergeCell ref="A8:R8"/>
    <mergeCell ref="A15:R15"/>
    <mergeCell ref="A22:R22"/>
    <mergeCell ref="A29:R29"/>
    <mergeCell ref="A37:A38"/>
    <mergeCell ref="B37:E37"/>
    <mergeCell ref="F37:I37"/>
    <mergeCell ref="J37:M37"/>
    <mergeCell ref="N37:Q37"/>
    <mergeCell ref="A9:A10"/>
    <mergeCell ref="B9:E9"/>
    <mergeCell ref="F9:I9"/>
    <mergeCell ref="J9:M9"/>
    <mergeCell ref="N9:Q9"/>
    <mergeCell ref="A23:A24"/>
    <mergeCell ref="B23:E23"/>
    <mergeCell ref="A2:A3"/>
    <mergeCell ref="B2:E2"/>
    <mergeCell ref="F2:I2"/>
    <mergeCell ref="J2:M2"/>
    <mergeCell ref="N2:Q2"/>
    <mergeCell ref="F23:I23"/>
    <mergeCell ref="J23:M23"/>
    <mergeCell ref="N23:Q23"/>
    <mergeCell ref="A16:A17"/>
    <mergeCell ref="B16:E16"/>
    <mergeCell ref="F16:I16"/>
    <mergeCell ref="J16:M16"/>
    <mergeCell ref="N16:Q16"/>
    <mergeCell ref="A30:A31"/>
    <mergeCell ref="B30:E30"/>
    <mergeCell ref="F30:I30"/>
    <mergeCell ref="J30:M30"/>
    <mergeCell ref="N30:Q30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25" workbookViewId="0">
      <selection activeCell="F47" sqref="F47"/>
    </sheetView>
  </sheetViews>
  <sheetFormatPr defaultRowHeight="15.6" x14ac:dyDescent="0.3"/>
  <cols>
    <col min="1" max="1" width="21" style="2" customWidth="1"/>
    <col min="2" max="17" width="8.88671875" style="44"/>
    <col min="18" max="18" width="43.109375" style="44" customWidth="1"/>
    <col min="19" max="19" width="40.88671875" style="91" customWidth="1"/>
    <col min="20" max="16384" width="8.88671875" style="44"/>
  </cols>
  <sheetData>
    <row r="1" spans="1:27" ht="16.2" thickBot="1" x14ac:dyDescent="0.35">
      <c r="A1" s="24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47"/>
    </row>
    <row r="2" spans="1:27" x14ac:dyDescent="0.3">
      <c r="A2" s="169"/>
      <c r="B2" s="189" t="s">
        <v>0</v>
      </c>
      <c r="C2" s="189"/>
      <c r="D2" s="189"/>
      <c r="E2" s="189"/>
      <c r="F2" s="190" t="s">
        <v>1</v>
      </c>
      <c r="G2" s="190"/>
      <c r="H2" s="190"/>
      <c r="I2" s="190"/>
      <c r="J2" s="189" t="s">
        <v>2</v>
      </c>
      <c r="K2" s="189"/>
      <c r="L2" s="189"/>
      <c r="M2" s="189"/>
      <c r="N2" s="189" t="s">
        <v>3</v>
      </c>
      <c r="O2" s="189"/>
      <c r="P2" s="189"/>
      <c r="Q2" s="189"/>
      <c r="R2" s="34" t="s">
        <v>171</v>
      </c>
      <c r="S2" s="35"/>
    </row>
    <row r="3" spans="1:27" ht="15.6" customHeight="1" x14ac:dyDescent="0.3">
      <c r="A3" s="172"/>
      <c r="B3" s="27" t="s">
        <v>4</v>
      </c>
      <c r="C3" s="27" t="s">
        <v>5</v>
      </c>
      <c r="D3" s="27" t="s">
        <v>6</v>
      </c>
      <c r="E3" s="27" t="s">
        <v>7</v>
      </c>
      <c r="F3" s="27" t="s">
        <v>4</v>
      </c>
      <c r="G3" s="27" t="s">
        <v>5</v>
      </c>
      <c r="H3" s="27" t="s">
        <v>6</v>
      </c>
      <c r="I3" s="27" t="s">
        <v>7</v>
      </c>
      <c r="J3" s="27" t="s">
        <v>4</v>
      </c>
      <c r="K3" s="27" t="s">
        <v>5</v>
      </c>
      <c r="L3" s="27" t="s">
        <v>6</v>
      </c>
      <c r="M3" s="27" t="s">
        <v>7</v>
      </c>
      <c r="N3" s="27" t="s">
        <v>4</v>
      </c>
      <c r="O3" s="27" t="s">
        <v>5</v>
      </c>
      <c r="P3" s="27" t="s">
        <v>6</v>
      </c>
      <c r="Q3" s="27" t="s">
        <v>7</v>
      </c>
      <c r="R3" s="36" t="s">
        <v>174</v>
      </c>
      <c r="S3" s="37"/>
    </row>
    <row r="4" spans="1:27" x14ac:dyDescent="0.3">
      <c r="A4" s="115" t="s">
        <v>177</v>
      </c>
      <c r="B4" s="28">
        <v>26.89</v>
      </c>
      <c r="C4" s="28">
        <v>10.46</v>
      </c>
      <c r="D4" s="28">
        <v>12.8</v>
      </c>
      <c r="E4" s="28">
        <v>41.3</v>
      </c>
      <c r="F4" s="28">
        <v>17.14</v>
      </c>
      <c r="G4" s="28">
        <v>7.0000000000000007E-2</v>
      </c>
      <c r="H4" s="28">
        <v>17</v>
      </c>
      <c r="I4" s="28">
        <v>17.2</v>
      </c>
      <c r="J4" s="28">
        <v>1.1399999999999999</v>
      </c>
      <c r="K4" s="28">
        <v>7.0000000000000007E-2</v>
      </c>
      <c r="L4" s="28">
        <v>1</v>
      </c>
      <c r="M4" s="28">
        <v>1.2</v>
      </c>
      <c r="N4" s="28">
        <v>59.93</v>
      </c>
      <c r="O4" s="28">
        <v>0.26</v>
      </c>
      <c r="P4" s="28">
        <v>59</v>
      </c>
      <c r="Q4" s="28">
        <v>60</v>
      </c>
      <c r="R4" s="38">
        <v>4</v>
      </c>
      <c r="S4" s="37" t="s">
        <v>23</v>
      </c>
    </row>
    <row r="5" spans="1:27" x14ac:dyDescent="0.3">
      <c r="A5" s="115" t="s">
        <v>8</v>
      </c>
      <c r="B5" s="28">
        <v>38.479999999999997</v>
      </c>
      <c r="C5" s="28">
        <v>4.87</v>
      </c>
      <c r="D5" s="28">
        <v>25.9</v>
      </c>
      <c r="E5" s="28">
        <v>43.4</v>
      </c>
      <c r="F5" s="28">
        <v>110.72</v>
      </c>
      <c r="G5" s="28">
        <v>0.67</v>
      </c>
      <c r="H5" s="28">
        <v>109</v>
      </c>
      <c r="I5" s="28">
        <v>111.4</v>
      </c>
      <c r="J5" s="28">
        <v>5.12</v>
      </c>
      <c r="K5" s="28">
        <v>0.67</v>
      </c>
      <c r="L5" s="28">
        <v>3.4</v>
      </c>
      <c r="M5" s="28">
        <v>5.8</v>
      </c>
      <c r="N5" s="28">
        <v>59</v>
      </c>
      <c r="O5" s="28">
        <v>0</v>
      </c>
      <c r="P5" s="28">
        <v>59</v>
      </c>
      <c r="Q5" s="28">
        <v>59</v>
      </c>
      <c r="R5" s="38">
        <v>3</v>
      </c>
      <c r="S5" s="37" t="s">
        <v>24</v>
      </c>
    </row>
    <row r="6" spans="1:27" x14ac:dyDescent="0.3">
      <c r="A6" s="115" t="s">
        <v>9</v>
      </c>
      <c r="B6" s="26">
        <v>47.64</v>
      </c>
      <c r="C6" s="26">
        <v>13.92</v>
      </c>
      <c r="D6" s="26">
        <v>25.3</v>
      </c>
      <c r="E6" s="26">
        <v>61.5</v>
      </c>
      <c r="F6" s="26">
        <v>109.5</v>
      </c>
      <c r="G6" s="26">
        <v>0.44</v>
      </c>
      <c r="H6" s="26">
        <v>108.8</v>
      </c>
      <c r="I6" s="26">
        <v>110.2</v>
      </c>
      <c r="J6" s="26">
        <v>0.7</v>
      </c>
      <c r="K6" s="26">
        <v>0.44</v>
      </c>
      <c r="L6" s="26">
        <v>0</v>
      </c>
      <c r="M6" s="26">
        <v>1.4</v>
      </c>
      <c r="N6" s="26">
        <v>60</v>
      </c>
      <c r="O6" s="26">
        <v>0</v>
      </c>
      <c r="P6" s="26">
        <v>60</v>
      </c>
      <c r="Q6" s="26">
        <v>60</v>
      </c>
      <c r="R6" s="38">
        <v>3</v>
      </c>
      <c r="S6" s="37" t="s">
        <v>80</v>
      </c>
    </row>
    <row r="7" spans="1:27" ht="16.2" thickBot="1" x14ac:dyDescent="0.35">
      <c r="A7" s="23" t="s">
        <v>178</v>
      </c>
      <c r="B7" s="29">
        <v>27.28</v>
      </c>
      <c r="C7" s="29">
        <v>4.04</v>
      </c>
      <c r="D7" s="29">
        <v>15.5</v>
      </c>
      <c r="E7" s="29">
        <v>30.2</v>
      </c>
      <c r="F7" s="29">
        <v>17.510000000000002</v>
      </c>
      <c r="G7" s="29">
        <v>0.28999999999999998</v>
      </c>
      <c r="H7" s="29">
        <v>17</v>
      </c>
      <c r="I7" s="29">
        <v>17.899999999999999</v>
      </c>
      <c r="J7" s="29">
        <v>1.61</v>
      </c>
      <c r="K7" s="29">
        <v>0.28999999999999998</v>
      </c>
      <c r="L7" s="29">
        <v>1.1000000000000001</v>
      </c>
      <c r="M7" s="29">
        <v>2</v>
      </c>
      <c r="N7" s="29">
        <v>60.25</v>
      </c>
      <c r="O7" s="29">
        <v>0.87</v>
      </c>
      <c r="P7" s="29">
        <v>60</v>
      </c>
      <c r="Q7" s="29">
        <v>63</v>
      </c>
      <c r="R7" s="41">
        <v>2</v>
      </c>
      <c r="S7" s="42" t="s">
        <v>118</v>
      </c>
      <c r="T7" s="48"/>
      <c r="U7" s="48"/>
      <c r="V7" s="48"/>
      <c r="W7" s="48"/>
      <c r="X7" s="48"/>
      <c r="Y7" s="48"/>
      <c r="Z7" s="48"/>
      <c r="AA7" s="48"/>
    </row>
    <row r="8" spans="1:27" ht="16.2" thickBot="1" x14ac:dyDescent="0.35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7"/>
      <c r="S8" s="157"/>
    </row>
    <row r="9" spans="1:27" x14ac:dyDescent="0.3">
      <c r="A9" s="169"/>
      <c r="B9" s="189" t="s">
        <v>0</v>
      </c>
      <c r="C9" s="189"/>
      <c r="D9" s="189"/>
      <c r="E9" s="189"/>
      <c r="F9" s="190" t="s">
        <v>1</v>
      </c>
      <c r="G9" s="190"/>
      <c r="H9" s="190"/>
      <c r="I9" s="190"/>
      <c r="J9" s="189" t="s">
        <v>2</v>
      </c>
      <c r="K9" s="189"/>
      <c r="L9" s="189"/>
      <c r="M9" s="189"/>
      <c r="N9" s="189" t="s">
        <v>3</v>
      </c>
      <c r="O9" s="189"/>
      <c r="P9" s="189"/>
      <c r="Q9" s="189"/>
      <c r="R9" s="34" t="s">
        <v>171</v>
      </c>
      <c r="S9" s="35"/>
    </row>
    <row r="10" spans="1:27" x14ac:dyDescent="0.3">
      <c r="A10" s="172"/>
      <c r="B10" s="27" t="s">
        <v>4</v>
      </c>
      <c r="C10" s="27" t="s">
        <v>5</v>
      </c>
      <c r="D10" s="27" t="s">
        <v>6</v>
      </c>
      <c r="E10" s="27" t="s">
        <v>7</v>
      </c>
      <c r="F10" s="27" t="s">
        <v>4</v>
      </c>
      <c r="G10" s="27" t="s">
        <v>5</v>
      </c>
      <c r="H10" s="27" t="s">
        <v>6</v>
      </c>
      <c r="I10" s="27" t="s">
        <v>7</v>
      </c>
      <c r="J10" s="27" t="s">
        <v>4</v>
      </c>
      <c r="K10" s="27" t="s">
        <v>5</v>
      </c>
      <c r="L10" s="27" t="s">
        <v>6</v>
      </c>
      <c r="M10" s="27" t="s">
        <v>7</v>
      </c>
      <c r="N10" s="27" t="s">
        <v>4</v>
      </c>
      <c r="O10" s="27" t="s">
        <v>5</v>
      </c>
      <c r="P10" s="27" t="s">
        <v>6</v>
      </c>
      <c r="Q10" s="27" t="s">
        <v>7</v>
      </c>
      <c r="R10" s="36" t="s">
        <v>174</v>
      </c>
      <c r="S10" s="37"/>
    </row>
    <row r="11" spans="1:27" x14ac:dyDescent="0.3">
      <c r="A11" s="115" t="s">
        <v>177</v>
      </c>
      <c r="B11" s="28">
        <v>28.88</v>
      </c>
      <c r="C11" s="28">
        <v>4.63</v>
      </c>
      <c r="D11" s="28">
        <v>15.2</v>
      </c>
      <c r="E11" s="28">
        <v>32.5</v>
      </c>
      <c r="F11" s="28">
        <v>16.84</v>
      </c>
      <c r="G11" s="28">
        <v>7.0000000000000007E-2</v>
      </c>
      <c r="H11" s="28">
        <v>16.8</v>
      </c>
      <c r="I11" s="28">
        <v>17</v>
      </c>
      <c r="J11" s="28">
        <v>1.1399999999999999</v>
      </c>
      <c r="K11" s="28">
        <v>7.0000000000000007E-2</v>
      </c>
      <c r="L11" s="28">
        <v>1.1000000000000001</v>
      </c>
      <c r="M11" s="28">
        <v>1.3</v>
      </c>
      <c r="N11" s="28">
        <v>60</v>
      </c>
      <c r="O11" s="28">
        <v>0</v>
      </c>
      <c r="P11" s="28">
        <v>60</v>
      </c>
      <c r="Q11" s="28">
        <v>60</v>
      </c>
      <c r="R11" s="38">
        <v>3</v>
      </c>
      <c r="S11" s="37" t="s">
        <v>25</v>
      </c>
    </row>
    <row r="12" spans="1:27" x14ac:dyDescent="0.3">
      <c r="A12" s="115" t="s">
        <v>8</v>
      </c>
      <c r="B12" s="28">
        <v>40.32</v>
      </c>
      <c r="C12" s="28">
        <v>3.24</v>
      </c>
      <c r="D12" s="28">
        <v>31.2</v>
      </c>
      <c r="E12" s="28">
        <v>42.3</v>
      </c>
      <c r="F12" s="28">
        <v>110.94</v>
      </c>
      <c r="G12" s="28">
        <v>1.1599999999999999</v>
      </c>
      <c r="H12" s="28">
        <v>108.4</v>
      </c>
      <c r="I12" s="28">
        <v>112.1</v>
      </c>
      <c r="J12" s="28">
        <v>6.14</v>
      </c>
      <c r="K12" s="28">
        <v>1.1599999999999999</v>
      </c>
      <c r="L12" s="28">
        <v>3.6</v>
      </c>
      <c r="M12" s="28">
        <v>7.3</v>
      </c>
      <c r="N12" s="28">
        <v>59</v>
      </c>
      <c r="O12" s="28">
        <v>0</v>
      </c>
      <c r="P12" s="28">
        <v>59</v>
      </c>
      <c r="Q12" s="28">
        <v>59</v>
      </c>
      <c r="R12" s="38">
        <v>3</v>
      </c>
      <c r="S12" s="37" t="s">
        <v>26</v>
      </c>
    </row>
    <row r="13" spans="1:27" x14ac:dyDescent="0.3">
      <c r="A13" s="115" t="s">
        <v>9</v>
      </c>
      <c r="B13" s="26">
        <v>49.07</v>
      </c>
      <c r="C13" s="26">
        <v>14.14</v>
      </c>
      <c r="D13" s="26">
        <v>28</v>
      </c>
      <c r="E13" s="26">
        <v>63.6</v>
      </c>
      <c r="F13" s="26">
        <v>110.3</v>
      </c>
      <c r="G13" s="26">
        <v>0.97</v>
      </c>
      <c r="H13" s="26">
        <v>108.8</v>
      </c>
      <c r="I13" s="26">
        <v>111.6</v>
      </c>
      <c r="J13" s="26">
        <v>1.06</v>
      </c>
      <c r="K13" s="26">
        <v>0.88</v>
      </c>
      <c r="L13" s="26">
        <v>0</v>
      </c>
      <c r="M13" s="26">
        <v>2.2999999999999998</v>
      </c>
      <c r="N13" s="26">
        <v>60</v>
      </c>
      <c r="O13" s="26">
        <v>0</v>
      </c>
      <c r="P13" s="26">
        <v>60</v>
      </c>
      <c r="Q13" s="26">
        <v>60</v>
      </c>
      <c r="R13" s="38">
        <v>3</v>
      </c>
      <c r="S13" s="37" t="s">
        <v>91</v>
      </c>
    </row>
    <row r="14" spans="1:27" ht="16.2" thickBot="1" x14ac:dyDescent="0.35">
      <c r="A14" s="23" t="s">
        <v>178</v>
      </c>
      <c r="B14" s="29">
        <v>26.54</v>
      </c>
      <c r="C14" s="29">
        <v>4.51</v>
      </c>
      <c r="D14" s="29">
        <v>13.5</v>
      </c>
      <c r="E14" s="29">
        <v>30.2</v>
      </c>
      <c r="F14" s="29">
        <v>16.98</v>
      </c>
      <c r="G14" s="29">
        <v>0.25</v>
      </c>
      <c r="H14" s="29">
        <v>16.5</v>
      </c>
      <c r="I14" s="29">
        <v>17.3</v>
      </c>
      <c r="J14" s="29">
        <v>1.58</v>
      </c>
      <c r="K14" s="29">
        <v>0.25</v>
      </c>
      <c r="L14" s="29">
        <v>1.1000000000000001</v>
      </c>
      <c r="M14" s="29">
        <v>1.9</v>
      </c>
      <c r="N14" s="29">
        <v>60.23</v>
      </c>
      <c r="O14" s="29">
        <v>0.83</v>
      </c>
      <c r="P14" s="29">
        <v>60</v>
      </c>
      <c r="Q14" s="29">
        <v>63</v>
      </c>
      <c r="R14" s="41">
        <v>3</v>
      </c>
      <c r="S14" s="42" t="s">
        <v>126</v>
      </c>
      <c r="T14" s="48"/>
      <c r="U14" s="48"/>
      <c r="V14" s="48"/>
      <c r="W14" s="48"/>
      <c r="X14" s="48"/>
      <c r="Y14" s="48"/>
      <c r="Z14" s="48"/>
      <c r="AA14" s="48"/>
    </row>
    <row r="15" spans="1:27" ht="16.2" thickBot="1" x14ac:dyDescent="0.35">
      <c r="A15" s="49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7"/>
      <c r="S15" s="157"/>
    </row>
    <row r="16" spans="1:27" ht="16.8" customHeight="1" x14ac:dyDescent="0.3">
      <c r="A16" s="169"/>
      <c r="B16" s="189" t="s">
        <v>0</v>
      </c>
      <c r="C16" s="189"/>
      <c r="D16" s="189"/>
      <c r="E16" s="189"/>
      <c r="F16" s="190" t="s">
        <v>1</v>
      </c>
      <c r="G16" s="190"/>
      <c r="H16" s="190"/>
      <c r="I16" s="190"/>
      <c r="J16" s="189" t="s">
        <v>2</v>
      </c>
      <c r="K16" s="189"/>
      <c r="L16" s="189"/>
      <c r="M16" s="189"/>
      <c r="N16" s="189" t="s">
        <v>3</v>
      </c>
      <c r="O16" s="189"/>
      <c r="P16" s="189"/>
      <c r="Q16" s="189"/>
      <c r="R16" s="34" t="s">
        <v>171</v>
      </c>
      <c r="S16" s="35"/>
    </row>
    <row r="17" spans="1:27" x14ac:dyDescent="0.3">
      <c r="A17" s="172"/>
      <c r="B17" s="27" t="s">
        <v>4</v>
      </c>
      <c r="C17" s="27" t="s">
        <v>5</v>
      </c>
      <c r="D17" s="27" t="s">
        <v>6</v>
      </c>
      <c r="E17" s="27" t="s">
        <v>7</v>
      </c>
      <c r="F17" s="27" t="s">
        <v>4</v>
      </c>
      <c r="G17" s="27" t="s">
        <v>5</v>
      </c>
      <c r="H17" s="27" t="s">
        <v>6</v>
      </c>
      <c r="I17" s="27" t="s">
        <v>7</v>
      </c>
      <c r="J17" s="27" t="s">
        <v>4</v>
      </c>
      <c r="K17" s="27" t="s">
        <v>5</v>
      </c>
      <c r="L17" s="27" t="s">
        <v>6</v>
      </c>
      <c r="M17" s="27" t="s">
        <v>7</v>
      </c>
      <c r="N17" s="27" t="s">
        <v>4</v>
      </c>
      <c r="O17" s="27" t="s">
        <v>5</v>
      </c>
      <c r="P17" s="27" t="s">
        <v>6</v>
      </c>
      <c r="Q17" s="27" t="s">
        <v>7</v>
      </c>
      <c r="R17" s="36" t="s">
        <v>174</v>
      </c>
      <c r="S17" s="37"/>
    </row>
    <row r="18" spans="1:27" x14ac:dyDescent="0.3">
      <c r="A18" s="115" t="s">
        <v>177</v>
      </c>
      <c r="B18" s="28">
        <v>31.38</v>
      </c>
      <c r="C18" s="28">
        <v>4.97</v>
      </c>
      <c r="D18" s="28" t="s">
        <v>27</v>
      </c>
      <c r="E18" s="28">
        <v>35.4</v>
      </c>
      <c r="F18" s="28">
        <v>16.87</v>
      </c>
      <c r="G18" s="28">
        <v>0.05</v>
      </c>
      <c r="H18" s="28">
        <v>16.8</v>
      </c>
      <c r="I18" s="28">
        <v>16.899999999999999</v>
      </c>
      <c r="J18" s="28">
        <v>1.17</v>
      </c>
      <c r="K18" s="28">
        <v>0.05</v>
      </c>
      <c r="L18" s="28">
        <v>1.1000000000000001</v>
      </c>
      <c r="M18" s="28">
        <v>1.2</v>
      </c>
      <c r="N18" s="28">
        <v>60</v>
      </c>
      <c r="O18" s="28">
        <v>0</v>
      </c>
      <c r="P18" s="28">
        <v>60</v>
      </c>
      <c r="Q18" s="28">
        <v>60</v>
      </c>
      <c r="R18" s="38">
        <v>3</v>
      </c>
      <c r="S18" s="37" t="s">
        <v>28</v>
      </c>
    </row>
    <row r="19" spans="1:27" x14ac:dyDescent="0.3">
      <c r="A19" s="115" t="s">
        <v>8</v>
      </c>
      <c r="B19" s="28">
        <v>37.200000000000003</v>
      </c>
      <c r="C19" s="28">
        <v>7</v>
      </c>
      <c r="D19" s="28">
        <v>18.2</v>
      </c>
      <c r="E19" s="28">
        <v>43.4</v>
      </c>
      <c r="F19" s="28">
        <v>110.63</v>
      </c>
      <c r="G19" s="28">
        <v>1.53</v>
      </c>
      <c r="H19" s="28">
        <v>107.8</v>
      </c>
      <c r="I19" s="28">
        <v>122.7</v>
      </c>
      <c r="J19" s="28">
        <v>6.43</v>
      </c>
      <c r="K19" s="28">
        <v>1.53</v>
      </c>
      <c r="L19" s="28">
        <v>3.6</v>
      </c>
      <c r="M19" s="28">
        <v>8.5</v>
      </c>
      <c r="N19" s="28">
        <v>59</v>
      </c>
      <c r="O19" s="28">
        <v>0</v>
      </c>
      <c r="P19" s="28">
        <v>59</v>
      </c>
      <c r="Q19" s="28">
        <v>59</v>
      </c>
      <c r="R19" s="38">
        <v>3</v>
      </c>
      <c r="S19" s="37" t="s">
        <v>29</v>
      </c>
    </row>
    <row r="20" spans="1:27" ht="31.2" x14ac:dyDescent="0.3">
      <c r="A20" s="115" t="s">
        <v>9</v>
      </c>
      <c r="B20" s="28">
        <v>48.09</v>
      </c>
      <c r="C20" s="28">
        <v>5.14</v>
      </c>
      <c r="D20" s="28">
        <v>35.6</v>
      </c>
      <c r="E20" s="28">
        <v>52.8</v>
      </c>
      <c r="F20" s="28">
        <v>110.28</v>
      </c>
      <c r="G20" s="28">
        <v>0.97</v>
      </c>
      <c r="H20" s="28">
        <v>108.6</v>
      </c>
      <c r="I20" s="28">
        <v>111.7</v>
      </c>
      <c r="J20" s="28">
        <v>1.49</v>
      </c>
      <c r="K20" s="28">
        <v>0.95</v>
      </c>
      <c r="L20" s="28">
        <v>0</v>
      </c>
      <c r="M20" s="28">
        <v>2.9</v>
      </c>
      <c r="N20" s="28">
        <v>60</v>
      </c>
      <c r="O20" s="28">
        <v>0</v>
      </c>
      <c r="P20" s="28">
        <v>60</v>
      </c>
      <c r="Q20" s="28">
        <v>60</v>
      </c>
      <c r="R20" s="43">
        <v>3</v>
      </c>
      <c r="S20" s="39" t="s">
        <v>164</v>
      </c>
      <c r="T20" s="48"/>
      <c r="U20" s="48"/>
      <c r="V20" s="48"/>
      <c r="W20" s="48"/>
      <c r="X20" s="48"/>
      <c r="Y20" s="48"/>
      <c r="Z20" s="48"/>
      <c r="AA20" s="48"/>
    </row>
    <row r="21" spans="1:27" s="52" customFormat="1" ht="16.2" thickBot="1" x14ac:dyDescent="0.35">
      <c r="A21" s="23" t="s">
        <v>178</v>
      </c>
      <c r="B21" s="29">
        <v>26.87</v>
      </c>
      <c r="C21" s="29">
        <v>5.44</v>
      </c>
      <c r="D21" s="29">
        <v>13.1</v>
      </c>
      <c r="E21" s="29">
        <v>32.799999999999997</v>
      </c>
      <c r="F21" s="29">
        <v>17.04</v>
      </c>
      <c r="G21" s="29">
        <v>0.26</v>
      </c>
      <c r="H21" s="29">
        <v>16.600000000000001</v>
      </c>
      <c r="I21" s="29">
        <v>17.399999999999999</v>
      </c>
      <c r="J21" s="29">
        <v>1.54</v>
      </c>
      <c r="K21" s="29">
        <v>0.26</v>
      </c>
      <c r="L21" s="29">
        <v>1.1000000000000001</v>
      </c>
      <c r="M21" s="29">
        <v>1.9</v>
      </c>
      <c r="N21" s="29">
        <v>60.17</v>
      </c>
      <c r="O21" s="29">
        <v>0.57999999999999996</v>
      </c>
      <c r="P21" s="29">
        <v>60</v>
      </c>
      <c r="Q21" s="29">
        <v>62</v>
      </c>
      <c r="R21" s="41">
        <v>2</v>
      </c>
      <c r="S21" s="42" t="s">
        <v>134</v>
      </c>
      <c r="T21" s="51"/>
      <c r="U21" s="51"/>
      <c r="V21" s="51"/>
      <c r="W21" s="51"/>
      <c r="X21" s="51"/>
      <c r="Y21" s="51"/>
      <c r="Z21" s="51"/>
      <c r="AA21" s="51"/>
    </row>
    <row r="22" spans="1:27" ht="16.2" thickBot="1" x14ac:dyDescent="0.35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7"/>
      <c r="S22" s="157"/>
    </row>
    <row r="23" spans="1:27" x14ac:dyDescent="0.3">
      <c r="A23" s="169"/>
      <c r="B23" s="189" t="s">
        <v>0</v>
      </c>
      <c r="C23" s="189"/>
      <c r="D23" s="189"/>
      <c r="E23" s="189"/>
      <c r="F23" s="190" t="s">
        <v>1</v>
      </c>
      <c r="G23" s="190"/>
      <c r="H23" s="190"/>
      <c r="I23" s="190"/>
      <c r="J23" s="189" t="s">
        <v>2</v>
      </c>
      <c r="K23" s="189"/>
      <c r="L23" s="189"/>
      <c r="M23" s="189"/>
      <c r="N23" s="189" t="s">
        <v>3</v>
      </c>
      <c r="O23" s="189"/>
      <c r="P23" s="189"/>
      <c r="Q23" s="189"/>
      <c r="R23" s="34" t="s">
        <v>171</v>
      </c>
      <c r="S23" s="35"/>
    </row>
    <row r="24" spans="1:27" x14ac:dyDescent="0.3">
      <c r="A24" s="172"/>
      <c r="B24" s="27" t="s">
        <v>4</v>
      </c>
      <c r="C24" s="27" t="s">
        <v>5</v>
      </c>
      <c r="D24" s="27" t="s">
        <v>6</v>
      </c>
      <c r="E24" s="27" t="s">
        <v>7</v>
      </c>
      <c r="F24" s="27" t="s">
        <v>4</v>
      </c>
      <c r="G24" s="27" t="s">
        <v>5</v>
      </c>
      <c r="H24" s="27" t="s">
        <v>6</v>
      </c>
      <c r="I24" s="27" t="s">
        <v>7</v>
      </c>
      <c r="J24" s="27" t="s">
        <v>4</v>
      </c>
      <c r="K24" s="27" t="s">
        <v>5</v>
      </c>
      <c r="L24" s="27" t="s">
        <v>6</v>
      </c>
      <c r="M24" s="27" t="s">
        <v>7</v>
      </c>
      <c r="N24" s="27" t="s">
        <v>4</v>
      </c>
      <c r="O24" s="27" t="s">
        <v>5</v>
      </c>
      <c r="P24" s="27" t="s">
        <v>6</v>
      </c>
      <c r="Q24" s="27" t="s">
        <v>7</v>
      </c>
      <c r="R24" s="36" t="s">
        <v>174</v>
      </c>
      <c r="S24" s="37"/>
    </row>
    <row r="25" spans="1:27" x14ac:dyDescent="0.3">
      <c r="A25" s="115" t="s">
        <v>177</v>
      </c>
      <c r="B25" s="28">
        <v>33.58</v>
      </c>
      <c r="C25" s="28">
        <v>3.32</v>
      </c>
      <c r="D25" s="28">
        <v>27.7</v>
      </c>
      <c r="E25" s="28">
        <v>39.799999999999997</v>
      </c>
      <c r="F25" s="28">
        <v>16.899999999999999</v>
      </c>
      <c r="G25" s="28">
        <v>0</v>
      </c>
      <c r="H25" s="28">
        <v>16.899999999999999</v>
      </c>
      <c r="I25" s="28">
        <v>16.899999999999999</v>
      </c>
      <c r="J25" s="28">
        <v>0.6</v>
      </c>
      <c r="K25" s="28">
        <v>0</v>
      </c>
      <c r="L25" s="28">
        <v>0.6</v>
      </c>
      <c r="M25" s="28">
        <v>0.6</v>
      </c>
      <c r="N25" s="28">
        <v>60</v>
      </c>
      <c r="O25" s="28">
        <v>0</v>
      </c>
      <c r="P25" s="28">
        <v>60</v>
      </c>
      <c r="Q25" s="28">
        <v>60</v>
      </c>
      <c r="R25" s="38">
        <v>2</v>
      </c>
      <c r="S25" s="37" t="s">
        <v>55</v>
      </c>
    </row>
    <row r="26" spans="1:27" x14ac:dyDescent="0.3">
      <c r="A26" s="115" t="s">
        <v>8</v>
      </c>
      <c r="B26" s="26">
        <v>38.4</v>
      </c>
      <c r="C26" s="26">
        <v>5.12</v>
      </c>
      <c r="D26" s="26">
        <v>28.1</v>
      </c>
      <c r="E26" s="26">
        <v>42.5</v>
      </c>
      <c r="F26" s="26">
        <v>110.69</v>
      </c>
      <c r="G26" s="26">
        <v>0.61</v>
      </c>
      <c r="H26" s="26">
        <v>109.6</v>
      </c>
      <c r="I26" s="26">
        <v>111.6</v>
      </c>
      <c r="J26" s="26">
        <v>4.1900000000000004</v>
      </c>
      <c r="K26" s="26">
        <v>0.61</v>
      </c>
      <c r="L26" s="26">
        <v>3.1</v>
      </c>
      <c r="M26" s="26">
        <v>5.0999999999999996</v>
      </c>
      <c r="N26" s="26">
        <v>59</v>
      </c>
      <c r="O26" s="26">
        <v>0</v>
      </c>
      <c r="P26" s="26">
        <v>59</v>
      </c>
      <c r="Q26" s="26">
        <v>59</v>
      </c>
      <c r="R26" s="38">
        <v>3</v>
      </c>
      <c r="S26" s="37" t="s">
        <v>62</v>
      </c>
    </row>
    <row r="27" spans="1:27" ht="31.2" x14ac:dyDescent="0.3">
      <c r="A27" s="115" t="s">
        <v>9</v>
      </c>
      <c r="B27" s="28">
        <v>50.99</v>
      </c>
      <c r="C27" s="28">
        <v>9.5</v>
      </c>
      <c r="D27" s="28">
        <v>30.9</v>
      </c>
      <c r="E27" s="28">
        <v>63.1</v>
      </c>
      <c r="F27" s="28">
        <v>110.28</v>
      </c>
      <c r="G27" s="28">
        <v>1.02</v>
      </c>
      <c r="H27" s="28">
        <v>109</v>
      </c>
      <c r="I27" s="28">
        <v>111.9</v>
      </c>
      <c r="J27" s="28">
        <v>1.05</v>
      </c>
      <c r="K27" s="28">
        <v>0.94</v>
      </c>
      <c r="L27" s="28">
        <v>0</v>
      </c>
      <c r="M27" s="28">
        <v>2.6</v>
      </c>
      <c r="N27" s="28">
        <v>60</v>
      </c>
      <c r="O27" s="28">
        <v>0</v>
      </c>
      <c r="P27" s="28">
        <v>60</v>
      </c>
      <c r="Q27" s="28">
        <v>60</v>
      </c>
      <c r="R27" s="43">
        <v>3</v>
      </c>
      <c r="S27" s="39" t="s">
        <v>105</v>
      </c>
      <c r="T27" s="48"/>
      <c r="U27" s="48"/>
      <c r="V27" s="48"/>
      <c r="W27" s="48"/>
      <c r="X27" s="48"/>
      <c r="Y27" s="48"/>
      <c r="Z27" s="48"/>
      <c r="AA27" s="48"/>
    </row>
    <row r="28" spans="1:27" ht="16.2" thickBot="1" x14ac:dyDescent="0.35">
      <c r="A28" s="23" t="s">
        <v>178</v>
      </c>
      <c r="B28" s="29">
        <v>32.86</v>
      </c>
      <c r="C28" s="29">
        <v>8.2100000000000009</v>
      </c>
      <c r="D28" s="29">
        <v>14.8</v>
      </c>
      <c r="E28" s="29">
        <v>40.6</v>
      </c>
      <c r="F28" s="29">
        <v>17.54</v>
      </c>
      <c r="G28" s="29">
        <v>0.32</v>
      </c>
      <c r="H28" s="29">
        <v>17</v>
      </c>
      <c r="I28" s="29">
        <v>18</v>
      </c>
      <c r="J28" s="29">
        <v>1.24</v>
      </c>
      <c r="K28" s="29">
        <v>0.32</v>
      </c>
      <c r="L28" s="29">
        <v>0.7</v>
      </c>
      <c r="M28" s="29">
        <v>1.7</v>
      </c>
      <c r="N28" s="29">
        <v>60.33</v>
      </c>
      <c r="O28" s="29">
        <v>1</v>
      </c>
      <c r="P28" s="29">
        <v>60</v>
      </c>
      <c r="Q28" s="29">
        <v>63</v>
      </c>
      <c r="R28" s="41">
        <v>2</v>
      </c>
      <c r="S28" s="42" t="s">
        <v>141</v>
      </c>
      <c r="T28" s="48"/>
      <c r="U28" s="48"/>
      <c r="V28" s="48"/>
      <c r="W28" s="48"/>
      <c r="X28" s="48"/>
      <c r="Y28" s="48"/>
      <c r="Z28" s="48"/>
      <c r="AA28" s="48"/>
    </row>
    <row r="29" spans="1:27" ht="16.2" thickBot="1" x14ac:dyDescent="0.35">
      <c r="A29" s="49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7"/>
      <c r="S29" s="157"/>
    </row>
    <row r="30" spans="1:27" x14ac:dyDescent="0.3">
      <c r="A30" s="167"/>
      <c r="B30" s="189" t="s">
        <v>0</v>
      </c>
      <c r="C30" s="189"/>
      <c r="D30" s="189"/>
      <c r="E30" s="189"/>
      <c r="F30" s="190" t="s">
        <v>1</v>
      </c>
      <c r="G30" s="190"/>
      <c r="H30" s="190"/>
      <c r="I30" s="190"/>
      <c r="J30" s="189" t="s">
        <v>2</v>
      </c>
      <c r="K30" s="189"/>
      <c r="L30" s="189"/>
      <c r="M30" s="189"/>
      <c r="N30" s="189" t="s">
        <v>3</v>
      </c>
      <c r="O30" s="189"/>
      <c r="P30" s="189"/>
      <c r="Q30" s="189"/>
      <c r="R30" s="34" t="s">
        <v>171</v>
      </c>
      <c r="S30" s="35"/>
    </row>
    <row r="31" spans="1:27" x14ac:dyDescent="0.3">
      <c r="A31" s="168"/>
      <c r="B31" s="27" t="s">
        <v>4</v>
      </c>
      <c r="C31" s="27" t="s">
        <v>5</v>
      </c>
      <c r="D31" s="27" t="s">
        <v>6</v>
      </c>
      <c r="E31" s="27" t="s">
        <v>7</v>
      </c>
      <c r="F31" s="27" t="s">
        <v>4</v>
      </c>
      <c r="G31" s="27" t="s">
        <v>5</v>
      </c>
      <c r="H31" s="27" t="s">
        <v>6</v>
      </c>
      <c r="I31" s="27" t="s">
        <v>7</v>
      </c>
      <c r="J31" s="27" t="s">
        <v>4</v>
      </c>
      <c r="K31" s="27" t="s">
        <v>5</v>
      </c>
      <c r="L31" s="27" t="s">
        <v>6</v>
      </c>
      <c r="M31" s="27" t="s">
        <v>7</v>
      </c>
      <c r="N31" s="27" t="s">
        <v>4</v>
      </c>
      <c r="O31" s="27" t="s">
        <v>5</v>
      </c>
      <c r="P31" s="27" t="s">
        <v>6</v>
      </c>
      <c r="Q31" s="27" t="s">
        <v>7</v>
      </c>
      <c r="R31" s="36" t="s">
        <v>174</v>
      </c>
      <c r="S31" s="37"/>
    </row>
    <row r="32" spans="1:27" x14ac:dyDescent="0.3">
      <c r="A32" s="115" t="s">
        <v>177</v>
      </c>
      <c r="B32" s="26">
        <v>33.549999999999997</v>
      </c>
      <c r="C32" s="26">
        <v>1.66</v>
      </c>
      <c r="D32" s="26">
        <v>30.3</v>
      </c>
      <c r="E32" s="26">
        <v>35.4</v>
      </c>
      <c r="F32" s="26">
        <v>16.98</v>
      </c>
      <c r="G32" s="26">
        <v>0.19</v>
      </c>
      <c r="H32" s="26">
        <v>16.8</v>
      </c>
      <c r="I32" s="26">
        <v>17.5</v>
      </c>
      <c r="J32" s="26">
        <v>0.68</v>
      </c>
      <c r="K32" s="26">
        <v>0.19</v>
      </c>
      <c r="L32" s="26">
        <v>0.5</v>
      </c>
      <c r="M32" s="26">
        <v>1.2</v>
      </c>
      <c r="N32" s="26">
        <v>59.45</v>
      </c>
      <c r="O32" s="26">
        <v>0.52</v>
      </c>
      <c r="P32" s="26">
        <v>59</v>
      </c>
      <c r="Q32" s="26">
        <v>60</v>
      </c>
      <c r="R32" s="38">
        <v>3</v>
      </c>
      <c r="S32" s="37" t="s">
        <v>67</v>
      </c>
    </row>
    <row r="33" spans="1:27" x14ac:dyDescent="0.3">
      <c r="A33" s="115" t="s">
        <v>8</v>
      </c>
      <c r="B33" s="26">
        <v>39.380000000000003</v>
      </c>
      <c r="C33" s="26">
        <v>3.13</v>
      </c>
      <c r="D33" s="26">
        <v>33.700000000000003</v>
      </c>
      <c r="E33" s="26">
        <v>43.3</v>
      </c>
      <c r="F33" s="26">
        <v>111.06</v>
      </c>
      <c r="G33" s="26">
        <v>0.9</v>
      </c>
      <c r="H33" s="26">
        <v>109</v>
      </c>
      <c r="I33" s="26">
        <v>112.1</v>
      </c>
      <c r="J33" s="26">
        <v>5.46</v>
      </c>
      <c r="K33" s="26">
        <v>0.9</v>
      </c>
      <c r="L33" s="26">
        <v>3.4</v>
      </c>
      <c r="M33" s="26">
        <v>6.5</v>
      </c>
      <c r="N33" s="26">
        <v>59</v>
      </c>
      <c r="O33" s="26">
        <v>0</v>
      </c>
      <c r="P33" s="26">
        <v>59</v>
      </c>
      <c r="Q33" s="26">
        <v>59</v>
      </c>
      <c r="R33" s="38">
        <v>3</v>
      </c>
      <c r="S33" s="37" t="s">
        <v>76</v>
      </c>
    </row>
    <row r="34" spans="1:27" ht="31.2" x14ac:dyDescent="0.3">
      <c r="A34" s="115" t="s">
        <v>9</v>
      </c>
      <c r="B34" s="28">
        <v>45.41</v>
      </c>
      <c r="C34" s="28">
        <v>5.75</v>
      </c>
      <c r="D34" s="28">
        <v>30.5</v>
      </c>
      <c r="E34" s="28">
        <v>50.8</v>
      </c>
      <c r="F34" s="28">
        <v>109.69</v>
      </c>
      <c r="G34" s="28">
        <v>0.84</v>
      </c>
      <c r="H34" s="28">
        <v>108.5</v>
      </c>
      <c r="I34" s="28">
        <v>111</v>
      </c>
      <c r="J34" s="28">
        <v>2.09</v>
      </c>
      <c r="K34" s="28">
        <v>0.84</v>
      </c>
      <c r="L34" s="28">
        <v>0.9</v>
      </c>
      <c r="M34" s="28">
        <v>3.4</v>
      </c>
      <c r="N34" s="28">
        <v>60</v>
      </c>
      <c r="O34" s="28">
        <v>0</v>
      </c>
      <c r="P34" s="28">
        <v>60</v>
      </c>
      <c r="Q34" s="28">
        <v>60</v>
      </c>
      <c r="R34" s="43">
        <v>3</v>
      </c>
      <c r="S34" s="39" t="s">
        <v>163</v>
      </c>
      <c r="T34" s="48"/>
      <c r="U34" s="48"/>
      <c r="V34" s="48"/>
      <c r="W34" s="48"/>
      <c r="X34" s="48"/>
      <c r="Y34" s="48"/>
      <c r="Z34" s="48"/>
      <c r="AA34" s="48"/>
    </row>
    <row r="35" spans="1:27" s="140" customFormat="1" ht="16.2" thickBot="1" x14ac:dyDescent="0.35">
      <c r="A35" s="23" t="s">
        <v>178</v>
      </c>
      <c r="B35" s="136">
        <v>28.88</v>
      </c>
      <c r="C35" s="136">
        <v>9.26</v>
      </c>
      <c r="D35" s="136">
        <v>18.8</v>
      </c>
      <c r="E35" s="136">
        <v>40.9</v>
      </c>
      <c r="F35" s="136">
        <v>17.37</v>
      </c>
      <c r="G35" s="136">
        <v>0.21</v>
      </c>
      <c r="H35" s="136">
        <v>16.899999999999999</v>
      </c>
      <c r="I35" s="136">
        <v>17.600000000000001</v>
      </c>
      <c r="J35" s="136">
        <v>1.57</v>
      </c>
      <c r="K35" s="136">
        <v>0.21</v>
      </c>
      <c r="L35" s="136">
        <v>1.1000000000000001</v>
      </c>
      <c r="M35" s="136">
        <v>1.8</v>
      </c>
      <c r="N35" s="136">
        <v>60</v>
      </c>
      <c r="O35" s="136">
        <v>0</v>
      </c>
      <c r="P35" s="136">
        <v>60</v>
      </c>
      <c r="Q35" s="136">
        <v>60</v>
      </c>
      <c r="R35" s="137">
        <v>3</v>
      </c>
      <c r="S35" s="138" t="s">
        <v>149</v>
      </c>
      <c r="T35" s="139"/>
      <c r="U35" s="139"/>
      <c r="V35" s="139"/>
      <c r="W35" s="139"/>
      <c r="X35" s="139"/>
      <c r="Y35" s="139"/>
      <c r="Z35" s="139"/>
      <c r="AA35" s="139"/>
    </row>
    <row r="36" spans="1:27" s="260" customFormat="1" ht="16.2" thickBot="1" x14ac:dyDescent="0.35">
      <c r="A36" s="254"/>
      <c r="B36" s="253"/>
      <c r="C36" s="253"/>
      <c r="D36" s="253"/>
      <c r="E36" s="253"/>
      <c r="F36" s="253"/>
      <c r="G36" s="253"/>
      <c r="H36" s="253"/>
      <c r="I36" s="253"/>
      <c r="J36" s="253"/>
      <c r="K36" s="253"/>
      <c r="L36" s="253"/>
      <c r="M36" s="253"/>
      <c r="N36" s="253"/>
      <c r="O36" s="253"/>
      <c r="P36" s="253"/>
      <c r="Q36" s="253"/>
      <c r="R36" s="253"/>
      <c r="S36" s="261"/>
    </row>
    <row r="37" spans="1:27" ht="15.6" customHeight="1" x14ac:dyDescent="0.3">
      <c r="A37" s="179"/>
      <c r="B37" s="181" t="s">
        <v>0</v>
      </c>
      <c r="C37" s="182"/>
      <c r="D37" s="182"/>
      <c r="E37" s="183"/>
      <c r="F37" s="184" t="s">
        <v>1</v>
      </c>
      <c r="G37" s="185"/>
      <c r="H37" s="185"/>
      <c r="I37" s="186"/>
      <c r="J37" s="181" t="s">
        <v>2</v>
      </c>
      <c r="K37" s="182"/>
      <c r="L37" s="182"/>
      <c r="M37" s="183"/>
      <c r="N37" s="181" t="s">
        <v>3</v>
      </c>
      <c r="O37" s="182"/>
      <c r="P37" s="182"/>
      <c r="Q37" s="183"/>
      <c r="R37" s="194" t="s">
        <v>173</v>
      </c>
      <c r="S37" s="158"/>
    </row>
    <row r="38" spans="1:27" x14ac:dyDescent="0.3">
      <c r="A38" s="180"/>
      <c r="B38" s="67" t="s">
        <v>4</v>
      </c>
      <c r="C38" s="68" t="s">
        <v>172</v>
      </c>
      <c r="D38" s="68" t="s">
        <v>6</v>
      </c>
      <c r="E38" s="68" t="s">
        <v>7</v>
      </c>
      <c r="F38" s="68" t="s">
        <v>4</v>
      </c>
      <c r="G38" s="68" t="s">
        <v>172</v>
      </c>
      <c r="H38" s="68" t="s">
        <v>6</v>
      </c>
      <c r="I38" s="68" t="s">
        <v>7</v>
      </c>
      <c r="J38" s="68" t="s">
        <v>4</v>
      </c>
      <c r="K38" s="68" t="s">
        <v>172</v>
      </c>
      <c r="L38" s="68" t="s">
        <v>6</v>
      </c>
      <c r="M38" s="68" t="s">
        <v>7</v>
      </c>
      <c r="N38" s="68" t="s">
        <v>4</v>
      </c>
      <c r="O38" s="68" t="s">
        <v>172</v>
      </c>
      <c r="P38" s="68" t="s">
        <v>6</v>
      </c>
      <c r="Q38" s="68" t="s">
        <v>7</v>
      </c>
      <c r="R38" s="195"/>
      <c r="S38" s="158"/>
    </row>
    <row r="39" spans="1:27" x14ac:dyDescent="0.3">
      <c r="A39" s="115" t="s">
        <v>177</v>
      </c>
      <c r="B39" s="53">
        <f>AVERAGE(B4,B11,B18,B25,B32)</f>
        <v>30.855999999999995</v>
      </c>
      <c r="C39" s="53">
        <f>_xlfn.STDEV.S(B4,B11,B18,B25,B32)</f>
        <v>2.9404982570986151</v>
      </c>
      <c r="D39" s="53">
        <f>MIN(D4,D11,D18,D25,D32)</f>
        <v>12.8</v>
      </c>
      <c r="E39" s="53">
        <f>MAX(E4,E11,E18,E25,E32)</f>
        <v>41.3</v>
      </c>
      <c r="F39" s="53">
        <f>AVERAGE(F4,F11,F18,F25,F32)</f>
        <v>16.946000000000002</v>
      </c>
      <c r="G39" s="53">
        <f>_xlfn.STDEV.S(F4,F11,F18,F25,F32)</f>
        <v>0.12033287165193086</v>
      </c>
      <c r="H39" s="53">
        <f>MIN(H4,H11,H18,H25,H32)</f>
        <v>16.8</v>
      </c>
      <c r="I39" s="53">
        <f>MAX(I4,I11,I18,I25,I32)</f>
        <v>17.5</v>
      </c>
      <c r="J39" s="53">
        <f t="shared" ref="J39:N42" si="0">AVERAGE(J4,J11,J18,J25,J32)</f>
        <v>0.94599999999999995</v>
      </c>
      <c r="K39" s="53">
        <f>_xlfn.STDEV.S(J4,J11,J18,J25,J32)</f>
        <v>0.28103380579567339</v>
      </c>
      <c r="L39" s="53">
        <f>MIN(L4,L11,L18,L25,L32)</f>
        <v>0.5</v>
      </c>
      <c r="M39" s="53">
        <f>MAX(M4,M11,M18,M25,M32)</f>
        <v>1.3</v>
      </c>
      <c r="N39" s="53">
        <f t="shared" si="0"/>
        <v>59.875999999999998</v>
      </c>
      <c r="O39" s="53">
        <f>_xlfn.STDEV.S(N4,N11,N18,N25,N32)</f>
        <v>0.24006249186409648</v>
      </c>
      <c r="P39" s="53">
        <f>MIN(P4,P11,P18,P25,P32)</f>
        <v>59</v>
      </c>
      <c r="Q39" s="53">
        <f>MAX(Q4,Q11,Q18,Q25,Q32)</f>
        <v>60</v>
      </c>
      <c r="R39" s="53">
        <f t="shared" ref="R39" si="1">AVERAGE(R4,R11,R18,R25,R32)</f>
        <v>3</v>
      </c>
      <c r="S39" s="158"/>
    </row>
    <row r="40" spans="1:27" x14ac:dyDescent="0.3">
      <c r="A40" s="115" t="s">
        <v>8</v>
      </c>
      <c r="B40" s="53">
        <f t="shared" ref="B40:B42" si="2">AVERAGE(B5,B12,B19,B26,B33)</f>
        <v>38.756</v>
      </c>
      <c r="C40" s="53">
        <f t="shared" ref="C40:C42" si="3">_xlfn.STDEV.S(B5,B12,B19,B26,B33)</f>
        <v>1.1682807881669541</v>
      </c>
      <c r="D40" s="53">
        <f t="shared" ref="D40:D42" si="4">MIN(D5,D12,D19,D26,D33)</f>
        <v>18.2</v>
      </c>
      <c r="E40" s="53">
        <f t="shared" ref="E40:E42" si="5">MAX(E5,E12,E19,E26,E33)</f>
        <v>43.4</v>
      </c>
      <c r="F40" s="53">
        <f t="shared" ref="F40:F42" si="6">AVERAGE(F5,F12,F19,F26,F33)</f>
        <v>110.80799999999999</v>
      </c>
      <c r="G40" s="53">
        <f t="shared" ref="G40:G42" si="7">_xlfn.STDEV.S(F5,F12,F19,F26,F33)</f>
        <v>0.18322117781523162</v>
      </c>
      <c r="H40" s="53">
        <f t="shared" ref="H40:H42" si="8">MIN(H5,H12,H19,H26,H33)</f>
        <v>107.8</v>
      </c>
      <c r="I40" s="53">
        <f t="shared" ref="I40:I42" si="9">MAX(I5,I12,I19,I26,I33)</f>
        <v>122.7</v>
      </c>
      <c r="J40" s="53">
        <f t="shared" si="0"/>
        <v>5.468</v>
      </c>
      <c r="K40" s="53">
        <f t="shared" ref="K40:K42" si="10">_xlfn.STDEV.S(J5,J12,J19,J26,J33)</f>
        <v>0.88479941229637049</v>
      </c>
      <c r="L40" s="53">
        <f t="shared" ref="L40:L42" si="11">MIN(L5,L12,L19,L26,L33)</f>
        <v>3.1</v>
      </c>
      <c r="M40" s="53">
        <f t="shared" ref="M40:M42" si="12">MAX(M5,M12,M19,M26,M33)</f>
        <v>8.5</v>
      </c>
      <c r="N40" s="53">
        <f t="shared" si="0"/>
        <v>59</v>
      </c>
      <c r="O40" s="53">
        <f t="shared" ref="O40:O42" si="13">_xlfn.STDEV.S(N5,N12,N19,N26,N33)</f>
        <v>0</v>
      </c>
      <c r="P40" s="53">
        <f t="shared" ref="P40:P42" si="14">MIN(P5,P12,P19,P26,P33)</f>
        <v>59</v>
      </c>
      <c r="Q40" s="53">
        <f t="shared" ref="Q40:Q42" si="15">MAX(Q5,Q12,Q19,Q26,Q33)</f>
        <v>59</v>
      </c>
      <c r="R40" s="53">
        <f t="shared" ref="R40:R42" si="16">AVERAGE(R5,R12,R19,R26,R33)</f>
        <v>3</v>
      </c>
      <c r="S40" s="158"/>
    </row>
    <row r="41" spans="1:27" x14ac:dyDescent="0.3">
      <c r="A41" s="115" t="s">
        <v>9</v>
      </c>
      <c r="B41" s="53">
        <f t="shared" si="2"/>
        <v>48.24</v>
      </c>
      <c r="C41" s="53">
        <f t="shared" si="3"/>
        <v>2.0397793998371507</v>
      </c>
      <c r="D41" s="53">
        <f t="shared" si="4"/>
        <v>25.3</v>
      </c>
      <c r="E41" s="53">
        <f t="shared" si="5"/>
        <v>63.6</v>
      </c>
      <c r="F41" s="53">
        <f t="shared" si="6"/>
        <v>110.00999999999999</v>
      </c>
      <c r="G41" s="53">
        <f t="shared" si="7"/>
        <v>0.38483762809787747</v>
      </c>
      <c r="H41" s="53">
        <f t="shared" si="8"/>
        <v>108.5</v>
      </c>
      <c r="I41" s="53">
        <f t="shared" si="9"/>
        <v>111.9</v>
      </c>
      <c r="J41" s="53">
        <f t="shared" si="0"/>
        <v>1.278</v>
      </c>
      <c r="K41" s="53">
        <f t="shared" si="10"/>
        <v>0.53335729112856445</v>
      </c>
      <c r="L41" s="53">
        <f t="shared" si="11"/>
        <v>0</v>
      </c>
      <c r="M41" s="53">
        <f t="shared" si="12"/>
        <v>3.4</v>
      </c>
      <c r="N41" s="53">
        <f t="shared" si="0"/>
        <v>60</v>
      </c>
      <c r="O41" s="53">
        <f t="shared" si="13"/>
        <v>0</v>
      </c>
      <c r="P41" s="53">
        <f t="shared" si="14"/>
        <v>60</v>
      </c>
      <c r="Q41" s="53">
        <f t="shared" si="15"/>
        <v>60</v>
      </c>
      <c r="R41" s="53">
        <f t="shared" si="16"/>
        <v>3</v>
      </c>
      <c r="S41" s="158"/>
    </row>
    <row r="42" spans="1:27" ht="16.2" thickBot="1" x14ac:dyDescent="0.35">
      <c r="A42" s="23" t="s">
        <v>178</v>
      </c>
      <c r="B42" s="53">
        <f t="shared" si="2"/>
        <v>28.486000000000001</v>
      </c>
      <c r="C42" s="53">
        <f t="shared" si="3"/>
        <v>2.6047994164618506</v>
      </c>
      <c r="D42" s="53">
        <f t="shared" si="4"/>
        <v>13.1</v>
      </c>
      <c r="E42" s="53">
        <f t="shared" si="5"/>
        <v>40.9</v>
      </c>
      <c r="F42" s="53">
        <f t="shared" si="6"/>
        <v>17.288</v>
      </c>
      <c r="G42" s="53">
        <f t="shared" si="7"/>
        <v>0.26262140049889338</v>
      </c>
      <c r="H42" s="53">
        <f t="shared" si="8"/>
        <v>16.5</v>
      </c>
      <c r="I42" s="53">
        <f t="shared" si="9"/>
        <v>18</v>
      </c>
      <c r="J42" s="53">
        <f t="shared" si="0"/>
        <v>1.5080000000000002</v>
      </c>
      <c r="K42" s="53">
        <f t="shared" si="10"/>
        <v>0.15188811671753658</v>
      </c>
      <c r="L42" s="53">
        <f t="shared" si="11"/>
        <v>0.7</v>
      </c>
      <c r="M42" s="53">
        <f t="shared" si="12"/>
        <v>2</v>
      </c>
      <c r="N42" s="53">
        <f t="shared" si="0"/>
        <v>60.195999999999991</v>
      </c>
      <c r="O42" s="53">
        <f t="shared" si="13"/>
        <v>0.12361229712289878</v>
      </c>
      <c r="P42" s="53">
        <f t="shared" si="14"/>
        <v>60</v>
      </c>
      <c r="Q42" s="53">
        <f t="shared" si="15"/>
        <v>63</v>
      </c>
      <c r="R42" s="54">
        <f t="shared" si="16"/>
        <v>2.4</v>
      </c>
      <c r="S42" s="158"/>
    </row>
    <row r="43" spans="1:27" x14ac:dyDescent="0.3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</row>
    <row r="44" spans="1:27" x14ac:dyDescent="0.3">
      <c r="A44" s="135"/>
    </row>
  </sheetData>
  <mergeCells count="31">
    <mergeCell ref="A23:A24"/>
    <mergeCell ref="B23:E23"/>
    <mergeCell ref="F23:I23"/>
    <mergeCell ref="J23:M23"/>
    <mergeCell ref="N23:Q23"/>
    <mergeCell ref="A16:A17"/>
    <mergeCell ref="A2:A3"/>
    <mergeCell ref="B2:E2"/>
    <mergeCell ref="F2:I2"/>
    <mergeCell ref="J2:M2"/>
    <mergeCell ref="A9:A10"/>
    <mergeCell ref="B9:E9"/>
    <mergeCell ref="F9:I9"/>
    <mergeCell ref="J9:M9"/>
    <mergeCell ref="N2:Q2"/>
    <mergeCell ref="B16:E16"/>
    <mergeCell ref="F16:I16"/>
    <mergeCell ref="J16:M16"/>
    <mergeCell ref="N16:Q16"/>
    <mergeCell ref="N9:Q9"/>
    <mergeCell ref="R37:R38"/>
    <mergeCell ref="A30:A31"/>
    <mergeCell ref="B30:E30"/>
    <mergeCell ref="F30:I30"/>
    <mergeCell ref="J30:M30"/>
    <mergeCell ref="N30:Q30"/>
    <mergeCell ref="A37:A38"/>
    <mergeCell ref="B37:E37"/>
    <mergeCell ref="F37:I37"/>
    <mergeCell ref="J37:M37"/>
    <mergeCell ref="N37:Q37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22" zoomScaleNormal="100" workbookViewId="0">
      <selection activeCell="A36" sqref="A36:XFD36"/>
    </sheetView>
  </sheetViews>
  <sheetFormatPr defaultRowHeight="15.6" x14ac:dyDescent="0.3"/>
  <cols>
    <col min="1" max="1" width="21" style="2" customWidth="1"/>
    <col min="2" max="17" width="8.88671875" style="30"/>
    <col min="18" max="18" width="43.109375" style="44" customWidth="1"/>
    <col min="19" max="19" width="43.33203125" style="45" customWidth="1"/>
    <col min="20" max="16384" width="8.88671875" style="30"/>
  </cols>
  <sheetData>
    <row r="1" spans="1:27" s="200" customFormat="1" ht="16.2" thickBot="1" x14ac:dyDescent="0.35">
      <c r="A1" s="197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9"/>
    </row>
    <row r="2" spans="1:27" x14ac:dyDescent="0.3">
      <c r="A2" s="169"/>
      <c r="B2" s="189" t="s">
        <v>0</v>
      </c>
      <c r="C2" s="189"/>
      <c r="D2" s="189"/>
      <c r="E2" s="189"/>
      <c r="F2" s="190" t="s">
        <v>1</v>
      </c>
      <c r="G2" s="190"/>
      <c r="H2" s="190"/>
      <c r="I2" s="190"/>
      <c r="J2" s="189" t="s">
        <v>2</v>
      </c>
      <c r="K2" s="189"/>
      <c r="L2" s="189"/>
      <c r="M2" s="189"/>
      <c r="N2" s="189" t="s">
        <v>3</v>
      </c>
      <c r="O2" s="189"/>
      <c r="P2" s="189"/>
      <c r="Q2" s="189"/>
      <c r="R2" s="34" t="s">
        <v>171</v>
      </c>
      <c r="S2" s="35"/>
    </row>
    <row r="3" spans="1:27" ht="15.6" customHeight="1" x14ac:dyDescent="0.3">
      <c r="A3" s="172"/>
      <c r="B3" s="27" t="s">
        <v>4</v>
      </c>
      <c r="C3" s="27" t="s">
        <v>5</v>
      </c>
      <c r="D3" s="27" t="s">
        <v>6</v>
      </c>
      <c r="E3" s="27" t="s">
        <v>7</v>
      </c>
      <c r="F3" s="27" t="s">
        <v>4</v>
      </c>
      <c r="G3" s="27" t="s">
        <v>5</v>
      </c>
      <c r="H3" s="27" t="s">
        <v>6</v>
      </c>
      <c r="I3" s="27" t="s">
        <v>7</v>
      </c>
      <c r="J3" s="27" t="s">
        <v>4</v>
      </c>
      <c r="K3" s="27" t="s">
        <v>5</v>
      </c>
      <c r="L3" s="27" t="s">
        <v>6</v>
      </c>
      <c r="M3" s="27" t="s">
        <v>7</v>
      </c>
      <c r="N3" s="27" t="s">
        <v>4</v>
      </c>
      <c r="O3" s="27" t="s">
        <v>5</v>
      </c>
      <c r="P3" s="27" t="s">
        <v>6</v>
      </c>
      <c r="Q3" s="27" t="s">
        <v>7</v>
      </c>
      <c r="R3" s="36" t="s">
        <v>174</v>
      </c>
      <c r="S3" s="37"/>
    </row>
    <row r="4" spans="1:27" x14ac:dyDescent="0.3">
      <c r="A4" s="115" t="s">
        <v>177</v>
      </c>
      <c r="B4" s="28">
        <v>39.78</v>
      </c>
      <c r="C4" s="28">
        <v>17.89</v>
      </c>
      <c r="D4" s="28">
        <v>4</v>
      </c>
      <c r="E4" s="28">
        <v>49.6</v>
      </c>
      <c r="F4" s="28">
        <v>23.38</v>
      </c>
      <c r="G4" s="28">
        <v>0.17</v>
      </c>
      <c r="H4" s="28">
        <v>23.2</v>
      </c>
      <c r="I4" s="28">
        <v>23.6</v>
      </c>
      <c r="J4" s="28">
        <v>0.28000000000000003</v>
      </c>
      <c r="K4" s="28">
        <v>0.17</v>
      </c>
      <c r="L4" s="28">
        <v>0.1</v>
      </c>
      <c r="M4" s="28">
        <v>0.5</v>
      </c>
      <c r="N4" s="28">
        <v>50</v>
      </c>
      <c r="O4" s="28">
        <v>24.49</v>
      </c>
      <c r="P4" s="28">
        <v>0</v>
      </c>
      <c r="Q4" s="28">
        <v>60</v>
      </c>
      <c r="R4" s="38">
        <v>2</v>
      </c>
      <c r="S4" s="37" t="s">
        <v>30</v>
      </c>
    </row>
    <row r="5" spans="1:27" x14ac:dyDescent="0.3">
      <c r="A5" s="115" t="s">
        <v>8</v>
      </c>
      <c r="B5" s="28">
        <v>100.45</v>
      </c>
      <c r="C5" s="28">
        <v>10.7</v>
      </c>
      <c r="D5" s="28">
        <v>79.400000000000006</v>
      </c>
      <c r="E5" s="28">
        <v>107.9</v>
      </c>
      <c r="F5" s="28">
        <v>116.87</v>
      </c>
      <c r="G5" s="28">
        <v>1.25</v>
      </c>
      <c r="H5" s="28">
        <v>115.5</v>
      </c>
      <c r="I5" s="28">
        <v>118.6</v>
      </c>
      <c r="J5" s="28">
        <v>1.67</v>
      </c>
      <c r="K5" s="28">
        <v>1.25</v>
      </c>
      <c r="L5" s="28">
        <v>0.3</v>
      </c>
      <c r="M5" s="28">
        <v>3.4</v>
      </c>
      <c r="N5" s="28">
        <v>59.83</v>
      </c>
      <c r="O5" s="28">
        <v>0.41</v>
      </c>
      <c r="P5" s="28">
        <v>59</v>
      </c>
      <c r="Q5" s="28">
        <v>60</v>
      </c>
      <c r="R5" s="38">
        <v>1</v>
      </c>
      <c r="S5" s="39" t="s">
        <v>157</v>
      </c>
      <c r="T5" s="40"/>
      <c r="U5" s="40"/>
      <c r="V5" s="40"/>
      <c r="W5" s="40"/>
      <c r="X5" s="40"/>
      <c r="Y5" s="40"/>
      <c r="Z5" s="40"/>
      <c r="AA5" s="40"/>
    </row>
    <row r="6" spans="1:27" s="26" customFormat="1" x14ac:dyDescent="0.3">
      <c r="A6" s="115" t="s">
        <v>9</v>
      </c>
      <c r="B6" s="26">
        <v>95.33</v>
      </c>
      <c r="C6" s="26">
        <v>10.75</v>
      </c>
      <c r="D6" s="26">
        <v>72.400000000000006</v>
      </c>
      <c r="E6" s="26">
        <v>102.9</v>
      </c>
      <c r="F6" s="112">
        <v>133.93</v>
      </c>
      <c r="G6" s="112">
        <v>1.01</v>
      </c>
      <c r="H6" s="112">
        <v>132.5</v>
      </c>
      <c r="I6" s="112">
        <v>135.30000000000001</v>
      </c>
      <c r="J6" s="112">
        <v>1.26</v>
      </c>
      <c r="K6" s="112">
        <v>0.96</v>
      </c>
      <c r="L6" s="112">
        <v>0</v>
      </c>
      <c r="M6" s="112">
        <v>2.6</v>
      </c>
      <c r="N6" s="112">
        <v>60</v>
      </c>
      <c r="O6" s="112">
        <v>0</v>
      </c>
      <c r="P6" s="112">
        <v>60</v>
      </c>
      <c r="Q6" s="112">
        <v>60</v>
      </c>
      <c r="R6" s="38">
        <v>1</v>
      </c>
      <c r="S6" s="37" t="s">
        <v>100</v>
      </c>
    </row>
    <row r="7" spans="1:27" ht="16.2" thickBot="1" x14ac:dyDescent="0.35">
      <c r="A7" s="23" t="s">
        <v>178</v>
      </c>
      <c r="B7" s="29">
        <v>34.08</v>
      </c>
      <c r="C7" s="29">
        <v>0.92</v>
      </c>
      <c r="D7" s="29">
        <v>33</v>
      </c>
      <c r="E7" s="29">
        <v>35</v>
      </c>
      <c r="F7" s="29">
        <v>21.26</v>
      </c>
      <c r="G7" s="29">
        <v>0.11</v>
      </c>
      <c r="H7" s="29">
        <v>21.1</v>
      </c>
      <c r="I7" s="29">
        <v>21.4</v>
      </c>
      <c r="J7" s="29">
        <v>0.26</v>
      </c>
      <c r="K7" s="29">
        <v>0.11</v>
      </c>
      <c r="L7" s="29">
        <v>0.1</v>
      </c>
      <c r="M7" s="29">
        <v>0.4</v>
      </c>
      <c r="N7" s="29">
        <v>60.6</v>
      </c>
      <c r="O7" s="29">
        <v>1.34</v>
      </c>
      <c r="P7" s="29">
        <v>60</v>
      </c>
      <c r="Q7" s="29">
        <v>63</v>
      </c>
      <c r="R7" s="41">
        <v>1</v>
      </c>
      <c r="S7" s="42" t="s">
        <v>119</v>
      </c>
      <c r="T7" s="40"/>
      <c r="U7" s="40"/>
      <c r="V7" s="40"/>
      <c r="W7" s="40"/>
      <c r="X7" s="40"/>
      <c r="Y7" s="40"/>
      <c r="Z7" s="40"/>
      <c r="AA7" s="40"/>
    </row>
    <row r="8" spans="1:27" ht="16.2" thickBot="1" x14ac:dyDescent="0.35">
      <c r="A8" s="203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5"/>
      <c r="S8" s="30"/>
    </row>
    <row r="9" spans="1:27" x14ac:dyDescent="0.3">
      <c r="A9" s="169"/>
      <c r="B9" s="189" t="s">
        <v>0</v>
      </c>
      <c r="C9" s="189"/>
      <c r="D9" s="189"/>
      <c r="E9" s="189"/>
      <c r="F9" s="190" t="s">
        <v>1</v>
      </c>
      <c r="G9" s="190"/>
      <c r="H9" s="190"/>
      <c r="I9" s="190"/>
      <c r="J9" s="189" t="s">
        <v>2</v>
      </c>
      <c r="K9" s="189"/>
      <c r="L9" s="189"/>
      <c r="M9" s="189"/>
      <c r="N9" s="189" t="s">
        <v>3</v>
      </c>
      <c r="O9" s="189"/>
      <c r="P9" s="189"/>
      <c r="Q9" s="189"/>
      <c r="R9" s="34" t="s">
        <v>171</v>
      </c>
      <c r="S9" s="35"/>
    </row>
    <row r="10" spans="1:27" x14ac:dyDescent="0.3">
      <c r="A10" s="172"/>
      <c r="B10" s="27" t="s">
        <v>4</v>
      </c>
      <c r="C10" s="27" t="s">
        <v>5</v>
      </c>
      <c r="D10" s="27" t="s">
        <v>6</v>
      </c>
      <c r="E10" s="27" t="s">
        <v>7</v>
      </c>
      <c r="F10" s="27" t="s">
        <v>4</v>
      </c>
      <c r="G10" s="27" t="s">
        <v>5</v>
      </c>
      <c r="H10" s="27" t="s">
        <v>6</v>
      </c>
      <c r="I10" s="27" t="s">
        <v>7</v>
      </c>
      <c r="J10" s="27" t="s">
        <v>4</v>
      </c>
      <c r="K10" s="27" t="s">
        <v>5</v>
      </c>
      <c r="L10" s="27" t="s">
        <v>6</v>
      </c>
      <c r="M10" s="27" t="s">
        <v>7</v>
      </c>
      <c r="N10" s="27" t="s">
        <v>4</v>
      </c>
      <c r="O10" s="27" t="s">
        <v>5</v>
      </c>
      <c r="P10" s="27" t="s">
        <v>6</v>
      </c>
      <c r="Q10" s="27" t="s">
        <v>7</v>
      </c>
      <c r="R10" s="36" t="s">
        <v>174</v>
      </c>
      <c r="S10" s="37"/>
    </row>
    <row r="11" spans="1:27" x14ac:dyDescent="0.3">
      <c r="A11" s="115" t="s">
        <v>177</v>
      </c>
      <c r="B11" s="28">
        <v>40.229999999999997</v>
      </c>
      <c r="C11" s="28">
        <v>19.579999999999998</v>
      </c>
      <c r="D11" s="28">
        <v>1.2</v>
      </c>
      <c r="E11" s="28">
        <v>51</v>
      </c>
      <c r="F11" s="28">
        <v>18.55</v>
      </c>
      <c r="G11" s="28">
        <v>0.21</v>
      </c>
      <c r="H11" s="28">
        <v>18.3</v>
      </c>
      <c r="I11" s="28">
        <v>18.8</v>
      </c>
      <c r="J11" s="28">
        <v>0.18</v>
      </c>
      <c r="K11" s="28">
        <v>0.16</v>
      </c>
      <c r="L11" s="28">
        <v>0</v>
      </c>
      <c r="M11" s="28">
        <v>0.4</v>
      </c>
      <c r="N11" s="28">
        <v>49.83</v>
      </c>
      <c r="O11" s="28">
        <v>24.42</v>
      </c>
      <c r="P11" s="28">
        <v>0</v>
      </c>
      <c r="Q11" s="28">
        <v>60</v>
      </c>
      <c r="R11" s="38">
        <v>2</v>
      </c>
      <c r="S11" s="37" t="s">
        <v>31</v>
      </c>
    </row>
    <row r="12" spans="1:27" x14ac:dyDescent="0.3">
      <c r="A12" s="115" t="s">
        <v>8</v>
      </c>
      <c r="B12" s="28">
        <v>95.58</v>
      </c>
      <c r="C12" s="28">
        <v>17</v>
      </c>
      <c r="D12" s="28">
        <v>62.8</v>
      </c>
      <c r="E12" s="28">
        <v>108.3</v>
      </c>
      <c r="F12" s="28">
        <v>121.65</v>
      </c>
      <c r="G12" s="28">
        <v>1.41</v>
      </c>
      <c r="H12" s="28">
        <v>119.9</v>
      </c>
      <c r="I12" s="28">
        <v>123.1</v>
      </c>
      <c r="J12" s="28">
        <v>0.98</v>
      </c>
      <c r="K12" s="28">
        <v>0.96</v>
      </c>
      <c r="L12" s="28">
        <v>0</v>
      </c>
      <c r="M12" s="28">
        <v>2.1</v>
      </c>
      <c r="N12" s="28">
        <v>59</v>
      </c>
      <c r="O12" s="28">
        <v>0</v>
      </c>
      <c r="P12" s="28">
        <v>59</v>
      </c>
      <c r="Q12" s="28">
        <v>59</v>
      </c>
      <c r="R12" s="38">
        <v>1</v>
      </c>
      <c r="S12" s="37" t="s">
        <v>32</v>
      </c>
    </row>
    <row r="13" spans="1:27" x14ac:dyDescent="0.3">
      <c r="A13" s="115" t="s">
        <v>9</v>
      </c>
      <c r="B13" s="26">
        <v>92.51</v>
      </c>
      <c r="C13" s="26">
        <v>11</v>
      </c>
      <c r="D13" s="26">
        <v>68.7</v>
      </c>
      <c r="E13" s="26">
        <v>100.3</v>
      </c>
      <c r="F13" s="26">
        <v>132.57</v>
      </c>
      <c r="G13" s="26">
        <v>1.5</v>
      </c>
      <c r="H13" s="26">
        <v>129.9</v>
      </c>
      <c r="I13" s="26">
        <v>134.30000000000001</v>
      </c>
      <c r="J13" s="26">
        <v>1.3</v>
      </c>
      <c r="K13" s="26">
        <v>1.08</v>
      </c>
      <c r="L13" s="26">
        <v>0</v>
      </c>
      <c r="M13" s="26">
        <v>2.8</v>
      </c>
      <c r="N13" s="26">
        <v>60</v>
      </c>
      <c r="O13" s="26">
        <v>0</v>
      </c>
      <c r="P13" s="26">
        <v>60</v>
      </c>
      <c r="Q13" s="26">
        <v>60</v>
      </c>
      <c r="R13" s="38">
        <v>1</v>
      </c>
      <c r="S13" s="37" t="s">
        <v>92</v>
      </c>
    </row>
    <row r="14" spans="1:27" ht="16.2" thickBot="1" x14ac:dyDescent="0.35">
      <c r="A14" s="23" t="s">
        <v>178</v>
      </c>
      <c r="B14" s="29">
        <v>34.82</v>
      </c>
      <c r="C14" s="29">
        <v>1.1100000000000001</v>
      </c>
      <c r="D14" s="29">
        <v>33</v>
      </c>
      <c r="E14" s="29">
        <v>35.9</v>
      </c>
      <c r="F14" s="29">
        <v>20.98</v>
      </c>
      <c r="G14" s="29">
        <v>0.08</v>
      </c>
      <c r="H14" s="29">
        <v>20.9</v>
      </c>
      <c r="I14" s="29">
        <v>21.1</v>
      </c>
      <c r="J14" s="29">
        <v>0.28000000000000003</v>
      </c>
      <c r="K14" s="29">
        <v>0.08</v>
      </c>
      <c r="L14" s="29">
        <v>0.2</v>
      </c>
      <c r="M14" s="29">
        <v>0.4</v>
      </c>
      <c r="N14" s="29">
        <v>60.4</v>
      </c>
      <c r="O14" s="29">
        <v>0.89</v>
      </c>
      <c r="P14" s="29">
        <v>60</v>
      </c>
      <c r="Q14" s="29">
        <v>62</v>
      </c>
      <c r="R14" s="41">
        <v>1</v>
      </c>
      <c r="S14" s="42" t="s">
        <v>127</v>
      </c>
      <c r="T14" s="40"/>
      <c r="U14" s="40"/>
      <c r="V14" s="40"/>
      <c r="W14" s="40"/>
      <c r="X14" s="40"/>
      <c r="Y14" s="40"/>
      <c r="Z14" s="40"/>
      <c r="AA14" s="40"/>
    </row>
    <row r="15" spans="1:27" ht="16.2" thickBot="1" x14ac:dyDescent="0.35">
      <c r="A15" s="203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5"/>
      <c r="S15" s="30"/>
    </row>
    <row r="16" spans="1:27" x14ac:dyDescent="0.3">
      <c r="A16" s="169"/>
      <c r="B16" s="189" t="s">
        <v>0</v>
      </c>
      <c r="C16" s="189"/>
      <c r="D16" s="189"/>
      <c r="E16" s="189"/>
      <c r="F16" s="190" t="s">
        <v>1</v>
      </c>
      <c r="G16" s="190"/>
      <c r="H16" s="190"/>
      <c r="I16" s="190"/>
      <c r="J16" s="189" t="s">
        <v>2</v>
      </c>
      <c r="K16" s="189"/>
      <c r="L16" s="189"/>
      <c r="M16" s="189"/>
      <c r="N16" s="189" t="s">
        <v>3</v>
      </c>
      <c r="O16" s="189"/>
      <c r="P16" s="189"/>
      <c r="Q16" s="189"/>
      <c r="R16" s="34" t="s">
        <v>171</v>
      </c>
      <c r="S16" s="35"/>
    </row>
    <row r="17" spans="1:27" x14ac:dyDescent="0.3">
      <c r="A17" s="172"/>
      <c r="B17" s="27" t="s">
        <v>4</v>
      </c>
      <c r="C17" s="27" t="s">
        <v>5</v>
      </c>
      <c r="D17" s="27" t="s">
        <v>6</v>
      </c>
      <c r="E17" s="27" t="s">
        <v>7</v>
      </c>
      <c r="F17" s="27" t="s">
        <v>4</v>
      </c>
      <c r="G17" s="27" t="s">
        <v>5</v>
      </c>
      <c r="H17" s="27" t="s">
        <v>6</v>
      </c>
      <c r="I17" s="27" t="s">
        <v>7</v>
      </c>
      <c r="J17" s="27" t="s">
        <v>4</v>
      </c>
      <c r="K17" s="27" t="s">
        <v>5</v>
      </c>
      <c r="L17" s="27" t="s">
        <v>6</v>
      </c>
      <c r="M17" s="27" t="s">
        <v>7</v>
      </c>
      <c r="N17" s="27" t="s">
        <v>4</v>
      </c>
      <c r="O17" s="27" t="s">
        <v>5</v>
      </c>
      <c r="P17" s="27" t="s">
        <v>6</v>
      </c>
      <c r="Q17" s="27" t="s">
        <v>7</v>
      </c>
      <c r="R17" s="36" t="s">
        <v>174</v>
      </c>
      <c r="S17" s="37"/>
    </row>
    <row r="18" spans="1:27" x14ac:dyDescent="0.3">
      <c r="A18" s="115" t="s">
        <v>177</v>
      </c>
      <c r="B18" s="28">
        <v>41.53</v>
      </c>
      <c r="C18" s="28">
        <v>18.21</v>
      </c>
      <c r="D18" s="28">
        <v>5.0999999999999996</v>
      </c>
      <c r="E18" s="28">
        <v>51.9</v>
      </c>
      <c r="F18" s="28">
        <v>22.4</v>
      </c>
      <c r="G18" s="28">
        <v>1.04</v>
      </c>
      <c r="H18" s="28">
        <v>20.3</v>
      </c>
      <c r="I18" s="28">
        <v>23</v>
      </c>
      <c r="J18" s="28">
        <v>2.2999999999999998</v>
      </c>
      <c r="K18" s="28">
        <v>1.04</v>
      </c>
      <c r="L18" s="28">
        <v>0.2</v>
      </c>
      <c r="M18" s="28">
        <v>2.9</v>
      </c>
      <c r="N18" s="28">
        <v>49.83</v>
      </c>
      <c r="O18" s="28">
        <v>24.42</v>
      </c>
      <c r="P18" s="28">
        <v>0</v>
      </c>
      <c r="Q18" s="28">
        <v>60</v>
      </c>
      <c r="R18" s="38">
        <v>1</v>
      </c>
      <c r="S18" s="37" t="s">
        <v>33</v>
      </c>
    </row>
    <row r="19" spans="1:27" x14ac:dyDescent="0.3">
      <c r="A19" s="115" t="s">
        <v>8</v>
      </c>
      <c r="B19" s="28">
        <v>93</v>
      </c>
      <c r="C19" s="28">
        <v>16.059999999999999</v>
      </c>
      <c r="D19" s="28">
        <v>62.7</v>
      </c>
      <c r="E19" s="28">
        <v>104.1</v>
      </c>
      <c r="F19" s="28">
        <v>121.25</v>
      </c>
      <c r="G19" s="28">
        <v>2.4</v>
      </c>
      <c r="H19" s="28">
        <v>118.1</v>
      </c>
      <c r="I19" s="28">
        <v>124.1</v>
      </c>
      <c r="J19" s="28">
        <v>1.52</v>
      </c>
      <c r="K19" s="28">
        <v>1.68</v>
      </c>
      <c r="L19" s="28">
        <v>0</v>
      </c>
      <c r="M19" s="28">
        <v>3.8</v>
      </c>
      <c r="N19" s="28">
        <v>59</v>
      </c>
      <c r="O19" s="28">
        <v>0</v>
      </c>
      <c r="P19" s="28">
        <v>59</v>
      </c>
      <c r="Q19" s="28">
        <v>59</v>
      </c>
      <c r="R19" s="38">
        <v>1</v>
      </c>
      <c r="S19" s="37" t="s">
        <v>34</v>
      </c>
    </row>
    <row r="20" spans="1:27" x14ac:dyDescent="0.3">
      <c r="A20" s="115" t="s">
        <v>9</v>
      </c>
      <c r="B20" s="26">
        <v>90.91</v>
      </c>
      <c r="C20" s="26">
        <v>14.82</v>
      </c>
      <c r="D20" s="26">
        <v>59.1</v>
      </c>
      <c r="E20" s="26">
        <v>100.5</v>
      </c>
      <c r="F20" s="112">
        <v>133.26</v>
      </c>
      <c r="G20" s="112">
        <v>1.04</v>
      </c>
      <c r="H20" s="112">
        <v>131.9</v>
      </c>
      <c r="I20" s="112">
        <v>134.6</v>
      </c>
      <c r="J20" s="112">
        <v>0.46</v>
      </c>
      <c r="K20" s="112">
        <v>0.6</v>
      </c>
      <c r="L20" s="112">
        <v>0</v>
      </c>
      <c r="M20" s="112">
        <v>1.4</v>
      </c>
      <c r="N20" s="112">
        <v>60</v>
      </c>
      <c r="O20" s="112">
        <v>0</v>
      </c>
      <c r="P20" s="112">
        <v>60</v>
      </c>
      <c r="Q20" s="112">
        <v>60</v>
      </c>
      <c r="R20" s="43">
        <v>1</v>
      </c>
      <c r="S20" s="37" t="s">
        <v>101</v>
      </c>
    </row>
    <row r="21" spans="1:27" ht="16.2" thickBot="1" x14ac:dyDescent="0.35">
      <c r="A21" s="23" t="s">
        <v>178</v>
      </c>
      <c r="B21" s="29">
        <v>34.74</v>
      </c>
      <c r="C21" s="29">
        <v>0.73</v>
      </c>
      <c r="D21" s="29">
        <v>34.1</v>
      </c>
      <c r="E21" s="29">
        <v>35.799999999999997</v>
      </c>
      <c r="F21" s="29">
        <v>22.12</v>
      </c>
      <c r="G21" s="29">
        <v>0.36</v>
      </c>
      <c r="H21" s="29">
        <v>21.5</v>
      </c>
      <c r="I21" s="29">
        <v>22.4</v>
      </c>
      <c r="J21" s="29">
        <v>1.52</v>
      </c>
      <c r="K21" s="29">
        <v>0.36</v>
      </c>
      <c r="L21" s="29">
        <v>0.9</v>
      </c>
      <c r="M21" s="29">
        <v>1.8</v>
      </c>
      <c r="N21" s="29">
        <v>60.6</v>
      </c>
      <c r="O21" s="29">
        <v>1.34</v>
      </c>
      <c r="P21" s="29">
        <v>60</v>
      </c>
      <c r="Q21" s="29">
        <v>63</v>
      </c>
      <c r="R21" s="41">
        <v>1</v>
      </c>
      <c r="S21" s="42" t="s">
        <v>135</v>
      </c>
      <c r="T21" s="40"/>
      <c r="U21" s="40"/>
      <c r="V21" s="40"/>
      <c r="W21" s="40"/>
      <c r="X21" s="40"/>
      <c r="Y21" s="40"/>
      <c r="Z21" s="40"/>
      <c r="AA21" s="40"/>
    </row>
    <row r="22" spans="1:27" ht="16.2" thickBot="1" x14ac:dyDescent="0.35">
      <c r="A22" s="203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5"/>
      <c r="S22" s="30"/>
    </row>
    <row r="23" spans="1:27" x14ac:dyDescent="0.3">
      <c r="A23" s="169"/>
      <c r="B23" s="189" t="s">
        <v>0</v>
      </c>
      <c r="C23" s="189"/>
      <c r="D23" s="189"/>
      <c r="E23" s="189"/>
      <c r="F23" s="190" t="s">
        <v>1</v>
      </c>
      <c r="G23" s="190"/>
      <c r="H23" s="190"/>
      <c r="I23" s="190"/>
      <c r="J23" s="189" t="s">
        <v>2</v>
      </c>
      <c r="K23" s="189"/>
      <c r="L23" s="189"/>
      <c r="M23" s="189"/>
      <c r="N23" s="189" t="s">
        <v>3</v>
      </c>
      <c r="O23" s="189"/>
      <c r="P23" s="189"/>
      <c r="Q23" s="189"/>
      <c r="R23" s="34" t="s">
        <v>171</v>
      </c>
      <c r="S23" s="35"/>
    </row>
    <row r="24" spans="1:27" x14ac:dyDescent="0.3">
      <c r="A24" s="172"/>
      <c r="B24" s="27" t="s">
        <v>4</v>
      </c>
      <c r="C24" s="27" t="s">
        <v>5</v>
      </c>
      <c r="D24" s="27" t="s">
        <v>6</v>
      </c>
      <c r="E24" s="27" t="s">
        <v>7</v>
      </c>
      <c r="F24" s="27" t="s">
        <v>4</v>
      </c>
      <c r="G24" s="27" t="s">
        <v>5</v>
      </c>
      <c r="H24" s="27" t="s">
        <v>6</v>
      </c>
      <c r="I24" s="27" t="s">
        <v>7</v>
      </c>
      <c r="J24" s="27" t="s">
        <v>4</v>
      </c>
      <c r="K24" s="27" t="s">
        <v>5</v>
      </c>
      <c r="L24" s="27" t="s">
        <v>6</v>
      </c>
      <c r="M24" s="27" t="s">
        <v>7</v>
      </c>
      <c r="N24" s="27" t="s">
        <v>4</v>
      </c>
      <c r="O24" s="27" t="s">
        <v>5</v>
      </c>
      <c r="P24" s="27" t="s">
        <v>6</v>
      </c>
      <c r="Q24" s="27" t="s">
        <v>7</v>
      </c>
      <c r="R24" s="36" t="s">
        <v>174</v>
      </c>
      <c r="S24" s="37"/>
    </row>
    <row r="25" spans="1:27" x14ac:dyDescent="0.3">
      <c r="A25" s="115" t="s">
        <v>177</v>
      </c>
      <c r="B25" s="28">
        <v>38.43</v>
      </c>
      <c r="C25" s="28">
        <v>16.489999999999998</v>
      </c>
      <c r="D25" s="28">
        <v>5.6</v>
      </c>
      <c r="E25" s="28">
        <v>50.9</v>
      </c>
      <c r="F25" s="28">
        <v>19.77</v>
      </c>
      <c r="G25" s="28">
        <v>0.5</v>
      </c>
      <c r="H25" s="28">
        <v>18.8</v>
      </c>
      <c r="I25" s="28">
        <v>20.2</v>
      </c>
      <c r="J25" s="28">
        <v>1.17</v>
      </c>
      <c r="K25" s="28">
        <v>0.5</v>
      </c>
      <c r="L25" s="28">
        <v>0.2</v>
      </c>
      <c r="M25" s="28">
        <v>1.6</v>
      </c>
      <c r="N25" s="28">
        <v>50.17</v>
      </c>
      <c r="O25" s="28">
        <v>24.9</v>
      </c>
      <c r="P25" s="28">
        <v>1</v>
      </c>
      <c r="Q25" s="28">
        <v>60</v>
      </c>
      <c r="R25" s="38">
        <v>1</v>
      </c>
      <c r="S25" s="37" t="s">
        <v>56</v>
      </c>
    </row>
    <row r="26" spans="1:27" x14ac:dyDescent="0.3">
      <c r="A26" s="115" t="s">
        <v>8</v>
      </c>
      <c r="B26" s="26">
        <v>97.47</v>
      </c>
      <c r="C26" s="26">
        <v>22.4</v>
      </c>
      <c r="D26" s="26">
        <v>53.5</v>
      </c>
      <c r="E26" s="26">
        <v>111</v>
      </c>
      <c r="F26" s="26">
        <v>118.02</v>
      </c>
      <c r="G26" s="26">
        <v>0.83</v>
      </c>
      <c r="H26" s="26">
        <v>117.5</v>
      </c>
      <c r="I26" s="26">
        <v>119.5</v>
      </c>
      <c r="J26" s="26">
        <v>0.17</v>
      </c>
      <c r="K26" s="26">
        <v>0.41</v>
      </c>
      <c r="L26" s="26">
        <v>0</v>
      </c>
      <c r="M26" s="26">
        <v>1</v>
      </c>
      <c r="N26" s="26">
        <v>59.33</v>
      </c>
      <c r="O26" s="26">
        <v>0.52</v>
      </c>
      <c r="P26" s="26">
        <v>59</v>
      </c>
      <c r="Q26" s="26">
        <v>60</v>
      </c>
      <c r="R26" s="38">
        <v>1</v>
      </c>
      <c r="S26" s="37" t="s">
        <v>83</v>
      </c>
    </row>
    <row r="27" spans="1:27" x14ac:dyDescent="0.3">
      <c r="A27" s="115" t="s">
        <v>9</v>
      </c>
      <c r="B27" s="28">
        <v>94.33</v>
      </c>
      <c r="C27" s="28">
        <v>12.52</v>
      </c>
      <c r="D27" s="28">
        <v>68.2</v>
      </c>
      <c r="E27" s="28">
        <v>102.9</v>
      </c>
      <c r="F27" s="28">
        <v>130</v>
      </c>
      <c r="G27" s="28">
        <v>1.04</v>
      </c>
      <c r="H27" s="28">
        <v>128.5</v>
      </c>
      <c r="I27" s="28">
        <v>131.4</v>
      </c>
      <c r="J27" s="28">
        <v>1.5</v>
      </c>
      <c r="K27" s="28">
        <v>1.04</v>
      </c>
      <c r="L27" s="28">
        <v>0</v>
      </c>
      <c r="M27" s="28">
        <v>2.9</v>
      </c>
      <c r="N27" s="28">
        <v>60</v>
      </c>
      <c r="O27" s="28">
        <v>0</v>
      </c>
      <c r="P27" s="28">
        <v>60</v>
      </c>
      <c r="Q27" s="28">
        <v>60</v>
      </c>
      <c r="R27" s="43">
        <v>2</v>
      </c>
      <c r="S27" s="39" t="s">
        <v>162</v>
      </c>
      <c r="T27" s="40"/>
      <c r="U27" s="40"/>
      <c r="V27" s="40"/>
      <c r="W27" s="40"/>
      <c r="X27" s="40"/>
      <c r="Y27" s="40"/>
      <c r="Z27" s="40"/>
      <c r="AA27" s="40"/>
    </row>
    <row r="28" spans="1:27" s="26" customFormat="1" ht="16.2" thickBot="1" x14ac:dyDescent="0.35">
      <c r="A28" s="23" t="s">
        <v>178</v>
      </c>
      <c r="B28" s="29">
        <v>34.659999999999997</v>
      </c>
      <c r="C28" s="29">
        <v>1.42</v>
      </c>
      <c r="D28" s="29">
        <v>33.299999999999997</v>
      </c>
      <c r="E28" s="29">
        <v>36.299999999999997</v>
      </c>
      <c r="F28" s="29">
        <v>21.5</v>
      </c>
      <c r="G28" s="29">
        <v>7.0000000000000007E-2</v>
      </c>
      <c r="H28" s="29">
        <v>21.4</v>
      </c>
      <c r="I28" s="29">
        <v>21.6</v>
      </c>
      <c r="J28" s="29">
        <v>0.3</v>
      </c>
      <c r="K28" s="29">
        <v>7.0000000000000007E-2</v>
      </c>
      <c r="L28" s="29">
        <v>0.2</v>
      </c>
      <c r="M28" s="29">
        <v>0.4</v>
      </c>
      <c r="N28" s="29">
        <v>60.6</v>
      </c>
      <c r="O28" s="29">
        <v>1.34</v>
      </c>
      <c r="P28" s="29">
        <v>60</v>
      </c>
      <c r="Q28" s="29">
        <v>63</v>
      </c>
      <c r="R28" s="41">
        <v>1</v>
      </c>
      <c r="S28" s="42" t="s">
        <v>142</v>
      </c>
      <c r="T28" s="28"/>
      <c r="U28" s="28"/>
      <c r="V28" s="28"/>
      <c r="W28" s="28"/>
      <c r="X28" s="28"/>
      <c r="Y28" s="28"/>
      <c r="Z28" s="28"/>
      <c r="AA28" s="28"/>
    </row>
    <row r="29" spans="1:27" s="209" customFormat="1" ht="16.2" thickBot="1" x14ac:dyDescent="0.35">
      <c r="A29" s="206"/>
      <c r="B29" s="207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8"/>
    </row>
    <row r="30" spans="1:27" x14ac:dyDescent="0.3">
      <c r="A30" s="167"/>
      <c r="B30" s="189" t="s">
        <v>0</v>
      </c>
      <c r="C30" s="189"/>
      <c r="D30" s="189"/>
      <c r="E30" s="189"/>
      <c r="F30" s="190" t="s">
        <v>1</v>
      </c>
      <c r="G30" s="190"/>
      <c r="H30" s="190"/>
      <c r="I30" s="190"/>
      <c r="J30" s="189" t="s">
        <v>2</v>
      </c>
      <c r="K30" s="189"/>
      <c r="L30" s="189"/>
      <c r="M30" s="189"/>
      <c r="N30" s="189" t="s">
        <v>3</v>
      </c>
      <c r="O30" s="189"/>
      <c r="P30" s="189"/>
      <c r="Q30" s="189"/>
      <c r="R30" s="34" t="s">
        <v>171</v>
      </c>
      <c r="S30" s="35"/>
    </row>
    <row r="31" spans="1:27" x14ac:dyDescent="0.3">
      <c r="A31" s="168"/>
      <c r="B31" s="27" t="s">
        <v>4</v>
      </c>
      <c r="C31" s="27" t="s">
        <v>5</v>
      </c>
      <c r="D31" s="27" t="s">
        <v>6</v>
      </c>
      <c r="E31" s="27" t="s">
        <v>7</v>
      </c>
      <c r="F31" s="27" t="s">
        <v>4</v>
      </c>
      <c r="G31" s="27" t="s">
        <v>5</v>
      </c>
      <c r="H31" s="27" t="s">
        <v>6</v>
      </c>
      <c r="I31" s="27" t="s">
        <v>7</v>
      </c>
      <c r="J31" s="27" t="s">
        <v>4</v>
      </c>
      <c r="K31" s="27" t="s">
        <v>5</v>
      </c>
      <c r="L31" s="27" t="s">
        <v>6</v>
      </c>
      <c r="M31" s="27" t="s">
        <v>7</v>
      </c>
      <c r="N31" s="27" t="s">
        <v>4</v>
      </c>
      <c r="O31" s="27" t="s">
        <v>5</v>
      </c>
      <c r="P31" s="27" t="s">
        <v>6</v>
      </c>
      <c r="Q31" s="27" t="s">
        <v>7</v>
      </c>
      <c r="R31" s="36" t="s">
        <v>174</v>
      </c>
      <c r="S31" s="37"/>
    </row>
    <row r="32" spans="1:27" x14ac:dyDescent="0.3">
      <c r="A32" s="115" t="s">
        <v>177</v>
      </c>
      <c r="B32" s="26">
        <v>40.630000000000003</v>
      </c>
      <c r="C32" s="26">
        <v>18.149999999999999</v>
      </c>
      <c r="D32" s="26">
        <v>4.4000000000000004</v>
      </c>
      <c r="E32" s="26">
        <v>50.6</v>
      </c>
      <c r="F32" s="26">
        <v>20.25</v>
      </c>
      <c r="G32" s="26">
        <v>1.18</v>
      </c>
      <c r="H32" s="26">
        <v>18.7</v>
      </c>
      <c r="I32" s="26">
        <v>21.3</v>
      </c>
      <c r="J32" s="26">
        <v>1.75</v>
      </c>
      <c r="K32" s="26">
        <v>1.18</v>
      </c>
      <c r="L32" s="26">
        <v>0.2</v>
      </c>
      <c r="M32" s="26">
        <v>2.8</v>
      </c>
      <c r="N32" s="26">
        <v>49.33</v>
      </c>
      <c r="O32" s="26">
        <v>24.17</v>
      </c>
      <c r="P32" s="26">
        <v>0</v>
      </c>
      <c r="Q32" s="26">
        <v>60</v>
      </c>
      <c r="R32" s="38">
        <v>2</v>
      </c>
      <c r="S32" s="37" t="s">
        <v>68</v>
      </c>
    </row>
    <row r="33" spans="1:27" x14ac:dyDescent="0.3">
      <c r="A33" s="115" t="s">
        <v>8</v>
      </c>
      <c r="B33" s="26">
        <v>100.53</v>
      </c>
      <c r="C33" s="26">
        <v>14.8</v>
      </c>
      <c r="D33" s="26">
        <v>72.400000000000006</v>
      </c>
      <c r="E33" s="26">
        <v>110.3</v>
      </c>
      <c r="F33" s="26">
        <v>119.82</v>
      </c>
      <c r="G33" s="26">
        <v>1.21</v>
      </c>
      <c r="H33" s="26">
        <v>119.1</v>
      </c>
      <c r="I33" s="26">
        <v>122.2</v>
      </c>
      <c r="J33" s="26">
        <v>0.47</v>
      </c>
      <c r="K33" s="26">
        <v>1.05</v>
      </c>
      <c r="L33" s="26">
        <v>0</v>
      </c>
      <c r="M33" s="26">
        <v>2.6</v>
      </c>
      <c r="N33" s="26">
        <v>59</v>
      </c>
      <c r="O33" s="26">
        <v>0</v>
      </c>
      <c r="P33" s="26">
        <v>59</v>
      </c>
      <c r="Q33" s="26">
        <v>59</v>
      </c>
      <c r="R33" s="38">
        <v>1</v>
      </c>
      <c r="S33" s="37" t="s">
        <v>77</v>
      </c>
    </row>
    <row r="34" spans="1:27" x14ac:dyDescent="0.3">
      <c r="A34" s="115" t="s">
        <v>9</v>
      </c>
      <c r="B34" s="28">
        <v>92.64</v>
      </c>
      <c r="C34" s="28">
        <v>12.26</v>
      </c>
      <c r="D34" s="28">
        <v>66.2</v>
      </c>
      <c r="E34" s="28">
        <v>100.6</v>
      </c>
      <c r="F34" s="28">
        <v>133.43</v>
      </c>
      <c r="G34" s="28">
        <v>1.03</v>
      </c>
      <c r="H34" s="28">
        <v>132.1</v>
      </c>
      <c r="I34" s="28">
        <v>134.80000000000001</v>
      </c>
      <c r="J34" s="28">
        <v>0.54</v>
      </c>
      <c r="K34" s="28">
        <v>0.68</v>
      </c>
      <c r="L34" s="28">
        <v>0</v>
      </c>
      <c r="M34" s="28">
        <v>1.6</v>
      </c>
      <c r="N34" s="28">
        <v>60</v>
      </c>
      <c r="O34" s="28">
        <v>0</v>
      </c>
      <c r="P34" s="28">
        <v>60</v>
      </c>
      <c r="Q34" s="28">
        <v>60</v>
      </c>
      <c r="R34" s="43">
        <v>2</v>
      </c>
      <c r="S34" s="39" t="s">
        <v>111</v>
      </c>
      <c r="T34" s="40"/>
      <c r="U34" s="40"/>
      <c r="V34" s="40"/>
      <c r="W34" s="40"/>
      <c r="X34" s="40"/>
      <c r="Y34" s="40"/>
      <c r="Z34" s="40"/>
      <c r="AA34" s="40"/>
    </row>
    <row r="35" spans="1:27" s="142" customFormat="1" ht="16.2" thickBot="1" x14ac:dyDescent="0.35">
      <c r="A35" s="23" t="s">
        <v>178</v>
      </c>
      <c r="B35" s="136">
        <v>34.82</v>
      </c>
      <c r="C35" s="136">
        <v>0.73</v>
      </c>
      <c r="D35" s="136">
        <v>33.799999999999997</v>
      </c>
      <c r="E35" s="136">
        <v>35.5</v>
      </c>
      <c r="F35" s="136">
        <v>21.2</v>
      </c>
      <c r="G35" s="136">
        <v>0.08</v>
      </c>
      <c r="H35" s="136">
        <v>21.1</v>
      </c>
      <c r="I35" s="136">
        <v>21.3</v>
      </c>
      <c r="J35" s="136">
        <v>0.2</v>
      </c>
      <c r="K35" s="136">
        <v>0.08</v>
      </c>
      <c r="L35" s="136">
        <v>0.1</v>
      </c>
      <c r="M35" s="136">
        <v>0.3</v>
      </c>
      <c r="N35" s="136">
        <v>60.75</v>
      </c>
      <c r="O35" s="136">
        <v>1.5</v>
      </c>
      <c r="P35" s="136">
        <v>60</v>
      </c>
      <c r="Q35" s="136">
        <v>63</v>
      </c>
      <c r="R35" s="137">
        <v>1</v>
      </c>
      <c r="S35" s="138" t="s">
        <v>150</v>
      </c>
      <c r="T35" s="141"/>
      <c r="U35" s="141"/>
      <c r="V35" s="141"/>
      <c r="W35" s="141"/>
      <c r="X35" s="141"/>
      <c r="Y35" s="141"/>
      <c r="Z35" s="141"/>
      <c r="AA35" s="141"/>
    </row>
    <row r="36" spans="1:27" s="263" customFormat="1" x14ac:dyDescent="0.3">
      <c r="A36" s="262"/>
      <c r="R36" s="253"/>
      <c r="S36" s="264"/>
    </row>
    <row r="37" spans="1:27" ht="15.6" customHeight="1" x14ac:dyDescent="0.3">
      <c r="A37" s="201"/>
      <c r="B37" s="201" t="s">
        <v>0</v>
      </c>
      <c r="C37" s="201"/>
      <c r="D37" s="201"/>
      <c r="E37" s="201"/>
      <c r="F37" s="202" t="s">
        <v>1</v>
      </c>
      <c r="G37" s="202"/>
      <c r="H37" s="202"/>
      <c r="I37" s="202"/>
      <c r="J37" s="201" t="s">
        <v>2</v>
      </c>
      <c r="K37" s="201"/>
      <c r="L37" s="201"/>
      <c r="M37" s="201"/>
      <c r="N37" s="201" t="s">
        <v>3</v>
      </c>
      <c r="O37" s="201"/>
      <c r="P37" s="201"/>
      <c r="Q37" s="201"/>
      <c r="R37" s="196" t="s">
        <v>175</v>
      </c>
    </row>
    <row r="38" spans="1:27" x14ac:dyDescent="0.3">
      <c r="A38" s="201"/>
      <c r="B38" s="161" t="s">
        <v>4</v>
      </c>
      <c r="C38" s="161" t="s">
        <v>172</v>
      </c>
      <c r="D38" s="161" t="s">
        <v>6</v>
      </c>
      <c r="E38" s="161" t="s">
        <v>7</v>
      </c>
      <c r="F38" s="161" t="s">
        <v>4</v>
      </c>
      <c r="G38" s="161" t="s">
        <v>172</v>
      </c>
      <c r="H38" s="161" t="s">
        <v>6</v>
      </c>
      <c r="I38" s="161" t="s">
        <v>7</v>
      </c>
      <c r="J38" s="161" t="s">
        <v>4</v>
      </c>
      <c r="K38" s="161" t="s">
        <v>172</v>
      </c>
      <c r="L38" s="161" t="s">
        <v>6</v>
      </c>
      <c r="M38" s="161" t="s">
        <v>7</v>
      </c>
      <c r="N38" s="161" t="s">
        <v>4</v>
      </c>
      <c r="O38" s="161" t="s">
        <v>172</v>
      </c>
      <c r="P38" s="161" t="s">
        <v>6</v>
      </c>
      <c r="Q38" s="161" t="s">
        <v>7</v>
      </c>
      <c r="R38" s="196"/>
    </row>
    <row r="39" spans="1:27" x14ac:dyDescent="0.3">
      <c r="A39" s="159" t="s">
        <v>177</v>
      </c>
      <c r="B39" s="26">
        <f>AVERAGE(B4,B11,B18,B25,B32)</f>
        <v>40.119999999999997</v>
      </c>
      <c r="C39" s="26">
        <f>_xlfn.STDEV.S(B4,B11,B18,B25,B32)</f>
        <v>1.1436782764396642</v>
      </c>
      <c r="D39" s="26">
        <f>MIN(D4,D11,D18,D25,D32)</f>
        <v>1.2</v>
      </c>
      <c r="E39" s="26">
        <f>MAX(E4,E11,E18,E25,E32)</f>
        <v>51.9</v>
      </c>
      <c r="F39" s="26">
        <f t="shared" ref="F39:R39" si="0">AVERAGE(F4,F11,F18,F25,F32)</f>
        <v>20.869999999999997</v>
      </c>
      <c r="G39" s="26">
        <f>_xlfn.STDEV.S(F4,F11,F18,F25,F32)</f>
        <v>1.9759681171516905</v>
      </c>
      <c r="H39" s="26">
        <f>MIN(H4,H11,H18,H25,H32)</f>
        <v>18.3</v>
      </c>
      <c r="I39" s="26">
        <f>MAX(I4,I11,I18,I25,I32)</f>
        <v>23.6</v>
      </c>
      <c r="J39" s="26">
        <f t="shared" si="0"/>
        <v>1.1359999999999999</v>
      </c>
      <c r="K39" s="26">
        <f>_xlfn.STDEV.S(J4,J11,J18,J25,J32)</f>
        <v>0.91920073977341865</v>
      </c>
      <c r="L39" s="26">
        <f>MIN(L4,L11,L18,L25,L32)</f>
        <v>0</v>
      </c>
      <c r="M39" s="26">
        <f>MAX(M4,M11,M18,M25,M32)</f>
        <v>2.9</v>
      </c>
      <c r="N39" s="26">
        <f t="shared" si="0"/>
        <v>49.831999999999994</v>
      </c>
      <c r="O39" s="26">
        <f>_xlfn.STDEV.S(N4,N11,N18,N25,N32)</f>
        <v>0.31403821423514799</v>
      </c>
      <c r="P39" s="26">
        <f>MIN(P4,P11,P18,P25,P32)</f>
        <v>0</v>
      </c>
      <c r="Q39" s="26">
        <f>MAX(Q4,Q11,Q18,Q25,Q32)</f>
        <v>60</v>
      </c>
      <c r="R39" s="26">
        <f t="shared" si="0"/>
        <v>1.6</v>
      </c>
    </row>
    <row r="40" spans="1:27" x14ac:dyDescent="0.3">
      <c r="A40" s="159" t="s">
        <v>8</v>
      </c>
      <c r="B40" s="26">
        <f t="shared" ref="B40:B42" si="1">AVERAGE(B5,B12,B19,B26,B33)</f>
        <v>97.405999999999992</v>
      </c>
      <c r="C40" s="26">
        <f t="shared" ref="C40:C42" si="2">_xlfn.STDEV.S(B5,B12,B19,B26,B33)</f>
        <v>3.2317379225426075</v>
      </c>
      <c r="D40" s="26">
        <f t="shared" ref="D40:D42" si="3">MIN(D5,D12,D19,D26,D33)</f>
        <v>53.5</v>
      </c>
      <c r="E40" s="26">
        <f t="shared" ref="E40:E42" si="4">MAX(E5,E12,E19,E26,E33)</f>
        <v>111</v>
      </c>
      <c r="F40" s="26">
        <f t="shared" ref="F40:R42" si="5">AVERAGE(F5,F12,F19,F26,F33)</f>
        <v>119.52199999999998</v>
      </c>
      <c r="G40" s="26">
        <f t="shared" ref="G40:G42" si="6">_xlfn.STDEV.S(F5,F12,F19,F26,F33)</f>
        <v>2.0550109488759425</v>
      </c>
      <c r="H40" s="26">
        <f t="shared" ref="H40:H42" si="7">MIN(H5,H12,H19,H26,H33)</f>
        <v>115.5</v>
      </c>
      <c r="I40" s="26">
        <f t="shared" ref="I40:I42" si="8">MAX(I5,I12,I19,I26,I33)</f>
        <v>124.1</v>
      </c>
      <c r="J40" s="26">
        <f t="shared" si="5"/>
        <v>0.96199999999999997</v>
      </c>
      <c r="K40" s="26">
        <f t="shared" ref="K40:K42" si="9">_xlfn.STDEV.S(J5,J12,J19,J26,J33)</f>
        <v>0.6485136852835105</v>
      </c>
      <c r="L40" s="26">
        <f t="shared" ref="L40:L42" si="10">MIN(L5,L12,L19,L26,L33)</f>
        <v>0</v>
      </c>
      <c r="M40" s="26">
        <f t="shared" ref="M40:M42" si="11">MAX(M5,M12,M19,M26,M33)</f>
        <v>3.8</v>
      </c>
      <c r="N40" s="26">
        <f t="shared" si="5"/>
        <v>59.231999999999992</v>
      </c>
      <c r="O40" s="26">
        <f t="shared" ref="O40:O42" si="12">_xlfn.STDEV.S(N5,N12,N19,N26,N33)</f>
        <v>0.36355192201389802</v>
      </c>
      <c r="P40" s="26">
        <f t="shared" ref="P40:P42" si="13">MIN(P5,P12,P19,P26,P33)</f>
        <v>59</v>
      </c>
      <c r="Q40" s="26">
        <f t="shared" ref="Q40:Q42" si="14">MAX(Q5,Q12,Q19,Q26,Q33)</f>
        <v>60</v>
      </c>
      <c r="R40" s="26">
        <f t="shared" si="5"/>
        <v>1</v>
      </c>
    </row>
    <row r="41" spans="1:27" s="26" customFormat="1" x14ac:dyDescent="0.3">
      <c r="A41" s="159" t="s">
        <v>9</v>
      </c>
      <c r="B41" s="26">
        <f t="shared" si="1"/>
        <v>93.143999999999991</v>
      </c>
      <c r="C41" s="26">
        <f t="shared" si="2"/>
        <v>1.7198779026430915</v>
      </c>
      <c r="D41" s="26">
        <f t="shared" si="3"/>
        <v>59.1</v>
      </c>
      <c r="E41" s="26">
        <f t="shared" si="4"/>
        <v>102.9</v>
      </c>
      <c r="F41" s="26">
        <f t="shared" si="5"/>
        <v>132.63800000000001</v>
      </c>
      <c r="G41" s="26">
        <f t="shared" si="6"/>
        <v>1.552987443606678</v>
      </c>
      <c r="H41" s="26">
        <f t="shared" si="7"/>
        <v>128.5</v>
      </c>
      <c r="I41" s="26">
        <f t="shared" si="8"/>
        <v>135.30000000000001</v>
      </c>
      <c r="J41" s="26">
        <f t="shared" si="5"/>
        <v>1.012</v>
      </c>
      <c r="K41" s="26">
        <f t="shared" si="9"/>
        <v>0.47699056594444317</v>
      </c>
      <c r="L41" s="26">
        <f t="shared" si="10"/>
        <v>0</v>
      </c>
      <c r="M41" s="26">
        <f t="shared" si="11"/>
        <v>2.9</v>
      </c>
      <c r="N41" s="26">
        <f t="shared" si="5"/>
        <v>60</v>
      </c>
      <c r="O41" s="26">
        <f t="shared" si="12"/>
        <v>0</v>
      </c>
      <c r="P41" s="26">
        <f t="shared" si="13"/>
        <v>60</v>
      </c>
      <c r="Q41" s="26">
        <f t="shared" si="14"/>
        <v>60</v>
      </c>
      <c r="R41" s="26">
        <f t="shared" si="5"/>
        <v>1.4</v>
      </c>
      <c r="S41" s="56"/>
    </row>
    <row r="42" spans="1:27" x14ac:dyDescent="0.3">
      <c r="A42" s="159" t="s">
        <v>178</v>
      </c>
      <c r="B42" s="26">
        <f t="shared" si="1"/>
        <v>34.624000000000002</v>
      </c>
      <c r="C42" s="26">
        <f t="shared" si="2"/>
        <v>0.31125552203936974</v>
      </c>
      <c r="D42" s="26">
        <f t="shared" si="3"/>
        <v>33</v>
      </c>
      <c r="E42" s="26">
        <f t="shared" si="4"/>
        <v>36.299999999999997</v>
      </c>
      <c r="F42" s="26">
        <f t="shared" si="5"/>
        <v>21.411999999999999</v>
      </c>
      <c r="G42" s="26">
        <f t="shared" si="6"/>
        <v>0.43694393232999612</v>
      </c>
      <c r="H42" s="26">
        <f t="shared" si="7"/>
        <v>20.9</v>
      </c>
      <c r="I42" s="26">
        <f t="shared" si="8"/>
        <v>22.4</v>
      </c>
      <c r="J42" s="26">
        <f t="shared" si="5"/>
        <v>0.51200000000000001</v>
      </c>
      <c r="K42" s="26">
        <f t="shared" si="9"/>
        <v>0.56473002399376637</v>
      </c>
      <c r="L42" s="26">
        <f t="shared" si="10"/>
        <v>0.1</v>
      </c>
      <c r="M42" s="26">
        <f t="shared" si="11"/>
        <v>1.8</v>
      </c>
      <c r="N42" s="26">
        <f t="shared" si="5"/>
        <v>60.589999999999996</v>
      </c>
      <c r="O42" s="26">
        <f t="shared" si="12"/>
        <v>0.12449899597988794</v>
      </c>
      <c r="P42" s="26">
        <f t="shared" si="13"/>
        <v>60</v>
      </c>
      <c r="Q42" s="26">
        <f t="shared" si="14"/>
        <v>63</v>
      </c>
      <c r="R42" s="26">
        <f t="shared" si="5"/>
        <v>1</v>
      </c>
    </row>
    <row r="43" spans="1:27" s="32" customFormat="1" x14ac:dyDescent="0.3">
      <c r="A43" s="25"/>
      <c r="R43" s="46"/>
      <c r="S43" s="160"/>
    </row>
    <row r="44" spans="1:27" x14ac:dyDescent="0.3">
      <c r="A44" s="135"/>
      <c r="R44" s="46"/>
    </row>
  </sheetData>
  <mergeCells count="36">
    <mergeCell ref="A1:XFD1"/>
    <mergeCell ref="A37:A38"/>
    <mergeCell ref="B37:E37"/>
    <mergeCell ref="F37:I37"/>
    <mergeCell ref="J37:M37"/>
    <mergeCell ref="N37:Q37"/>
    <mergeCell ref="A8:R8"/>
    <mergeCell ref="A15:R15"/>
    <mergeCell ref="A22:R22"/>
    <mergeCell ref="A29:XFD29"/>
    <mergeCell ref="A9:A10"/>
    <mergeCell ref="B9:E9"/>
    <mergeCell ref="F9:I9"/>
    <mergeCell ref="J9:M9"/>
    <mergeCell ref="N9:Q9"/>
    <mergeCell ref="A2:A3"/>
    <mergeCell ref="B2:E2"/>
    <mergeCell ref="F2:I2"/>
    <mergeCell ref="J2:M2"/>
    <mergeCell ref="N2:Q2"/>
    <mergeCell ref="A23:A24"/>
    <mergeCell ref="B23:E23"/>
    <mergeCell ref="F23:I23"/>
    <mergeCell ref="J23:M23"/>
    <mergeCell ref="N23:Q23"/>
    <mergeCell ref="A16:A17"/>
    <mergeCell ref="B16:E16"/>
    <mergeCell ref="F16:I16"/>
    <mergeCell ref="J16:M16"/>
    <mergeCell ref="N16:Q16"/>
    <mergeCell ref="R37:R38"/>
    <mergeCell ref="A30:A31"/>
    <mergeCell ref="B30:E30"/>
    <mergeCell ref="F30:I30"/>
    <mergeCell ref="J30:M30"/>
    <mergeCell ref="N30:Q30"/>
  </mergeCell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31" workbookViewId="0">
      <selection activeCell="E52" sqref="E52"/>
    </sheetView>
  </sheetViews>
  <sheetFormatPr defaultRowHeight="15.6" x14ac:dyDescent="0.3"/>
  <cols>
    <col min="1" max="1" width="21" style="2" customWidth="1"/>
    <col min="2" max="17" width="8.88671875" style="65"/>
    <col min="18" max="18" width="43.109375" style="129" customWidth="1"/>
    <col min="19" max="19" width="53" style="66" customWidth="1"/>
    <col min="20" max="20" width="8.88671875" style="154"/>
    <col min="21" max="16384" width="8.88671875" style="65"/>
  </cols>
  <sheetData>
    <row r="1" spans="1:27" s="217" customFormat="1" ht="16.2" thickBot="1" x14ac:dyDescent="0.35">
      <c r="A1" s="214"/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6"/>
    </row>
    <row r="2" spans="1:27" s="27" customFormat="1" x14ac:dyDescent="0.3">
      <c r="A2" s="169"/>
      <c r="B2" s="189" t="s">
        <v>0</v>
      </c>
      <c r="C2" s="189"/>
      <c r="D2" s="189"/>
      <c r="E2" s="189"/>
      <c r="F2" s="190" t="s">
        <v>1</v>
      </c>
      <c r="G2" s="190"/>
      <c r="H2" s="190"/>
      <c r="I2" s="190"/>
      <c r="J2" s="189" t="s">
        <v>2</v>
      </c>
      <c r="K2" s="189"/>
      <c r="L2" s="189"/>
      <c r="M2" s="189"/>
      <c r="N2" s="189" t="s">
        <v>3</v>
      </c>
      <c r="O2" s="189"/>
      <c r="P2" s="189"/>
      <c r="Q2" s="189"/>
      <c r="R2" s="116" t="s">
        <v>171</v>
      </c>
      <c r="S2" s="155"/>
      <c r="T2" s="149"/>
    </row>
    <row r="3" spans="1:27" s="26" customFormat="1" ht="15.6" customHeight="1" x14ac:dyDescent="0.3">
      <c r="A3" s="172"/>
      <c r="B3" s="27" t="s">
        <v>4</v>
      </c>
      <c r="C3" s="27" t="s">
        <v>5</v>
      </c>
      <c r="D3" s="27" t="s">
        <v>6</v>
      </c>
      <c r="E3" s="27" t="s">
        <v>7</v>
      </c>
      <c r="F3" s="27" t="s">
        <v>4</v>
      </c>
      <c r="G3" s="27" t="s">
        <v>5</v>
      </c>
      <c r="H3" s="27" t="s">
        <v>6</v>
      </c>
      <c r="I3" s="27" t="s">
        <v>7</v>
      </c>
      <c r="J3" s="27" t="s">
        <v>4</v>
      </c>
      <c r="K3" s="27" t="s">
        <v>5</v>
      </c>
      <c r="L3" s="27" t="s">
        <v>6</v>
      </c>
      <c r="M3" s="27" t="s">
        <v>7</v>
      </c>
      <c r="N3" s="27" t="s">
        <v>4</v>
      </c>
      <c r="O3" s="27" t="s">
        <v>5</v>
      </c>
      <c r="P3" s="27" t="s">
        <v>6</v>
      </c>
      <c r="Q3" s="27" t="s">
        <v>7</v>
      </c>
      <c r="R3" s="59" t="s">
        <v>174</v>
      </c>
      <c r="S3" s="56"/>
      <c r="T3" s="150"/>
    </row>
    <row r="4" spans="1:27" s="26" customFormat="1" x14ac:dyDescent="0.3">
      <c r="A4" s="115" t="s">
        <v>177</v>
      </c>
      <c r="B4" s="28">
        <v>99.4</v>
      </c>
      <c r="C4" s="28">
        <v>1.17</v>
      </c>
      <c r="D4" s="28">
        <v>97.1</v>
      </c>
      <c r="E4" s="28">
        <v>101.8</v>
      </c>
      <c r="F4" s="28">
        <v>68.17</v>
      </c>
      <c r="G4" s="28">
        <v>4.24</v>
      </c>
      <c r="H4" s="28">
        <v>52.8</v>
      </c>
      <c r="I4" s="28">
        <v>71.3</v>
      </c>
      <c r="J4" s="28">
        <v>27.37</v>
      </c>
      <c r="K4" s="28">
        <v>4.24</v>
      </c>
      <c r="L4" s="28">
        <v>12</v>
      </c>
      <c r="M4" s="28">
        <v>30.5</v>
      </c>
      <c r="N4" s="28">
        <v>59.1</v>
      </c>
      <c r="O4" s="28">
        <v>0.3</v>
      </c>
      <c r="P4" s="28">
        <v>59</v>
      </c>
      <c r="Q4" s="28">
        <v>60</v>
      </c>
      <c r="R4" s="60">
        <v>30</v>
      </c>
      <c r="S4" s="56" t="s">
        <v>35</v>
      </c>
      <c r="T4" s="150"/>
    </row>
    <row r="5" spans="1:27" s="26" customFormat="1" x14ac:dyDescent="0.3">
      <c r="A5" s="115" t="s">
        <v>8</v>
      </c>
      <c r="B5" s="28">
        <v>107.6</v>
      </c>
      <c r="C5" s="28">
        <v>1.08</v>
      </c>
      <c r="D5" s="28">
        <v>104.9</v>
      </c>
      <c r="E5" s="28">
        <v>109.4</v>
      </c>
      <c r="F5" s="28">
        <v>201.85</v>
      </c>
      <c r="G5" s="28">
        <v>4.5599999999999996</v>
      </c>
      <c r="H5" s="28">
        <v>190.7</v>
      </c>
      <c r="I5" s="28">
        <v>208.2</v>
      </c>
      <c r="J5" s="28">
        <v>97.75</v>
      </c>
      <c r="K5" s="28">
        <v>4.5599999999999996</v>
      </c>
      <c r="L5" s="28">
        <v>86.6</v>
      </c>
      <c r="M5" s="28">
        <v>104.1</v>
      </c>
      <c r="N5" s="28">
        <v>59</v>
      </c>
      <c r="O5" s="28">
        <v>0</v>
      </c>
      <c r="P5" s="28">
        <v>59</v>
      </c>
      <c r="Q5" s="28">
        <v>59</v>
      </c>
      <c r="R5" s="60">
        <v>23</v>
      </c>
      <c r="S5" s="56" t="s">
        <v>36</v>
      </c>
      <c r="T5" s="150"/>
    </row>
    <row r="6" spans="1:27" s="26" customFormat="1" x14ac:dyDescent="0.3">
      <c r="A6" s="115" t="s">
        <v>9</v>
      </c>
      <c r="B6" s="26">
        <v>193.64</v>
      </c>
      <c r="C6" s="26">
        <v>5.08</v>
      </c>
      <c r="D6" s="26">
        <v>184.5</v>
      </c>
      <c r="E6" s="26">
        <v>205.8</v>
      </c>
      <c r="F6" s="26">
        <v>181.8</v>
      </c>
      <c r="G6" s="26">
        <v>23.67</v>
      </c>
      <c r="H6" s="26">
        <v>139</v>
      </c>
      <c r="I6" s="26">
        <v>218.3</v>
      </c>
      <c r="J6" s="26">
        <v>73.7</v>
      </c>
      <c r="K6" s="26">
        <v>23.67</v>
      </c>
      <c r="L6" s="26">
        <v>30.9</v>
      </c>
      <c r="M6" s="26">
        <v>110.2</v>
      </c>
      <c r="N6" s="26">
        <v>60</v>
      </c>
      <c r="O6" s="26">
        <v>0</v>
      </c>
      <c r="P6" s="26">
        <v>60</v>
      </c>
      <c r="Q6" s="26">
        <v>60</v>
      </c>
      <c r="R6" s="60">
        <v>28</v>
      </c>
      <c r="S6" s="56" t="s">
        <v>81</v>
      </c>
      <c r="T6" s="150"/>
    </row>
    <row r="7" spans="1:27" s="26" customFormat="1" ht="16.2" thickBot="1" x14ac:dyDescent="0.35">
      <c r="A7" s="23" t="s">
        <v>178</v>
      </c>
      <c r="B7" s="29">
        <v>100.75</v>
      </c>
      <c r="C7" s="29">
        <v>1.25</v>
      </c>
      <c r="D7" s="29">
        <v>99.2</v>
      </c>
      <c r="E7" s="29">
        <v>104.4</v>
      </c>
      <c r="F7" s="29">
        <v>719.89</v>
      </c>
      <c r="G7" s="29">
        <v>27.51</v>
      </c>
      <c r="H7" s="29">
        <v>679.8</v>
      </c>
      <c r="I7" s="29">
        <v>767.5</v>
      </c>
      <c r="J7" s="29">
        <v>70.89</v>
      </c>
      <c r="K7" s="29">
        <v>27.51</v>
      </c>
      <c r="L7" s="29">
        <v>30.8</v>
      </c>
      <c r="M7" s="29">
        <v>118.5</v>
      </c>
      <c r="N7" s="29">
        <v>6.26</v>
      </c>
      <c r="O7" s="29">
        <v>0.45</v>
      </c>
      <c r="P7" s="29">
        <v>6</v>
      </c>
      <c r="Q7" s="29">
        <v>7</v>
      </c>
      <c r="R7" s="64">
        <v>45</v>
      </c>
      <c r="S7" s="58" t="s">
        <v>120</v>
      </c>
      <c r="T7" s="151"/>
      <c r="U7" s="28"/>
      <c r="V7" s="28"/>
      <c r="W7" s="28"/>
      <c r="X7" s="28"/>
      <c r="Y7" s="28"/>
      <c r="Z7" s="28"/>
      <c r="AA7" s="28"/>
    </row>
    <row r="8" spans="1:27" s="213" customFormat="1" ht="16.2" thickBot="1" x14ac:dyDescent="0.35">
      <c r="A8" s="210"/>
      <c r="B8" s="211"/>
      <c r="C8" s="211"/>
      <c r="D8" s="211"/>
      <c r="E8" s="211"/>
      <c r="F8" s="211"/>
      <c r="G8" s="211"/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2"/>
    </row>
    <row r="9" spans="1:27" s="33" customFormat="1" x14ac:dyDescent="0.3">
      <c r="A9" s="169"/>
      <c r="B9" s="189" t="s">
        <v>0</v>
      </c>
      <c r="C9" s="189"/>
      <c r="D9" s="189"/>
      <c r="E9" s="189"/>
      <c r="F9" s="190" t="s">
        <v>1</v>
      </c>
      <c r="G9" s="190"/>
      <c r="H9" s="190"/>
      <c r="I9" s="190"/>
      <c r="J9" s="189" t="s">
        <v>2</v>
      </c>
      <c r="K9" s="189"/>
      <c r="L9" s="189"/>
      <c r="M9" s="189"/>
      <c r="N9" s="189" t="s">
        <v>3</v>
      </c>
      <c r="O9" s="189"/>
      <c r="P9" s="189"/>
      <c r="Q9" s="189"/>
      <c r="R9" s="116" t="s">
        <v>171</v>
      </c>
      <c r="S9" s="155"/>
      <c r="T9" s="117"/>
    </row>
    <row r="10" spans="1:27" s="26" customFormat="1" x14ac:dyDescent="0.3">
      <c r="A10" s="172"/>
      <c r="B10" s="27" t="s">
        <v>4</v>
      </c>
      <c r="C10" s="27" t="s">
        <v>5</v>
      </c>
      <c r="D10" s="27" t="s">
        <v>6</v>
      </c>
      <c r="E10" s="27" t="s">
        <v>7</v>
      </c>
      <c r="F10" s="27" t="s">
        <v>4</v>
      </c>
      <c r="G10" s="27" t="s">
        <v>5</v>
      </c>
      <c r="H10" s="27" t="s">
        <v>6</v>
      </c>
      <c r="I10" s="27" t="s">
        <v>7</v>
      </c>
      <c r="J10" s="27" t="s">
        <v>4</v>
      </c>
      <c r="K10" s="27" t="s">
        <v>5</v>
      </c>
      <c r="L10" s="27" t="s">
        <v>6</v>
      </c>
      <c r="M10" s="27" t="s">
        <v>7</v>
      </c>
      <c r="N10" s="27" t="s">
        <v>4</v>
      </c>
      <c r="O10" s="27" t="s">
        <v>5</v>
      </c>
      <c r="P10" s="27" t="s">
        <v>6</v>
      </c>
      <c r="Q10" s="27" t="s">
        <v>7</v>
      </c>
      <c r="R10" s="59" t="s">
        <v>174</v>
      </c>
      <c r="S10" s="56"/>
      <c r="T10" s="150"/>
    </row>
    <row r="11" spans="1:27" s="26" customFormat="1" x14ac:dyDescent="0.3">
      <c r="A11" s="115" t="s">
        <v>177</v>
      </c>
      <c r="B11" s="26">
        <v>100.04</v>
      </c>
      <c r="C11" s="26">
        <v>1.85</v>
      </c>
      <c r="D11" s="26">
        <v>93.1</v>
      </c>
      <c r="E11" s="26">
        <v>102</v>
      </c>
      <c r="F11" s="26">
        <v>61.67</v>
      </c>
      <c r="G11" s="26">
        <v>9.93</v>
      </c>
      <c r="H11" s="26">
        <v>43.2</v>
      </c>
      <c r="I11" s="26">
        <v>71.7</v>
      </c>
      <c r="J11" s="26">
        <v>20.67</v>
      </c>
      <c r="K11" s="26">
        <v>9.93</v>
      </c>
      <c r="L11" s="26">
        <v>2.2000000000000002</v>
      </c>
      <c r="M11" s="26">
        <v>30.7</v>
      </c>
      <c r="N11" s="26">
        <v>60</v>
      </c>
      <c r="O11" s="26">
        <v>0</v>
      </c>
      <c r="P11" s="26">
        <v>60</v>
      </c>
      <c r="Q11" s="26">
        <v>60</v>
      </c>
      <c r="R11" s="60">
        <v>23</v>
      </c>
      <c r="S11" s="56" t="s">
        <v>37</v>
      </c>
      <c r="T11" s="150"/>
    </row>
    <row r="12" spans="1:27" s="26" customFormat="1" x14ac:dyDescent="0.3">
      <c r="A12" s="115" t="s">
        <v>8</v>
      </c>
      <c r="B12" s="26">
        <v>108.13</v>
      </c>
      <c r="C12" s="26">
        <v>0.8</v>
      </c>
      <c r="D12" s="26">
        <v>106.1</v>
      </c>
      <c r="E12" s="26">
        <v>110.1</v>
      </c>
      <c r="F12" s="26">
        <v>203.3</v>
      </c>
      <c r="G12" s="26">
        <v>4.25</v>
      </c>
      <c r="H12" s="26">
        <v>195.9</v>
      </c>
      <c r="I12" s="26">
        <v>209.4</v>
      </c>
      <c r="J12" s="26">
        <v>98.2</v>
      </c>
      <c r="K12" s="26">
        <v>4.25</v>
      </c>
      <c r="L12" s="26">
        <v>90.8</v>
      </c>
      <c r="M12" s="26">
        <v>104.3</v>
      </c>
      <c r="N12" s="26">
        <v>58.95</v>
      </c>
      <c r="O12" s="26">
        <v>0.38</v>
      </c>
      <c r="P12" s="26">
        <v>58</v>
      </c>
      <c r="Q12" s="26">
        <v>60</v>
      </c>
      <c r="R12" s="60">
        <v>22</v>
      </c>
      <c r="S12" s="56" t="s">
        <v>38</v>
      </c>
      <c r="T12" s="150"/>
    </row>
    <row r="13" spans="1:27" s="26" customFormat="1" x14ac:dyDescent="0.3">
      <c r="A13" s="115" t="s">
        <v>9</v>
      </c>
      <c r="B13" s="26">
        <v>194.94</v>
      </c>
      <c r="C13" s="26">
        <v>5.56</v>
      </c>
      <c r="D13" s="26">
        <v>181.8</v>
      </c>
      <c r="E13" s="26">
        <v>203.7</v>
      </c>
      <c r="F13" s="26">
        <v>174.74</v>
      </c>
      <c r="G13" s="26">
        <v>21.11</v>
      </c>
      <c r="H13" s="26">
        <v>132.30000000000001</v>
      </c>
      <c r="I13" s="26">
        <v>203.4</v>
      </c>
      <c r="J13" s="26">
        <v>66.34</v>
      </c>
      <c r="K13" s="26">
        <v>21.11</v>
      </c>
      <c r="L13" s="26">
        <v>23.9</v>
      </c>
      <c r="M13" s="26">
        <v>95</v>
      </c>
      <c r="N13" s="112">
        <v>60</v>
      </c>
      <c r="O13" s="26">
        <v>0</v>
      </c>
      <c r="P13" s="26">
        <v>60</v>
      </c>
      <c r="Q13" s="26">
        <v>60</v>
      </c>
      <c r="R13" s="60">
        <v>28</v>
      </c>
      <c r="S13" s="56" t="s">
        <v>93</v>
      </c>
      <c r="T13" s="150"/>
    </row>
    <row r="14" spans="1:27" s="31" customFormat="1" ht="16.2" thickBot="1" x14ac:dyDescent="0.35">
      <c r="A14" s="23" t="s">
        <v>178</v>
      </c>
      <c r="B14" s="29">
        <v>100.78</v>
      </c>
      <c r="C14" s="29">
        <v>1.26</v>
      </c>
      <c r="D14" s="29">
        <v>99.1</v>
      </c>
      <c r="E14" s="29">
        <v>104.2</v>
      </c>
      <c r="F14" s="29">
        <v>730.26</v>
      </c>
      <c r="G14" s="29">
        <v>27.47</v>
      </c>
      <c r="H14" s="29">
        <v>687.9</v>
      </c>
      <c r="I14" s="29">
        <v>776</v>
      </c>
      <c r="J14" s="29">
        <v>70.66</v>
      </c>
      <c r="K14" s="29">
        <v>27.47</v>
      </c>
      <c r="L14" s="29">
        <v>28.3</v>
      </c>
      <c r="M14" s="29">
        <v>116.4</v>
      </c>
      <c r="N14" s="29">
        <v>6.23</v>
      </c>
      <c r="O14" s="29">
        <v>0.43</v>
      </c>
      <c r="P14" s="29">
        <v>6</v>
      </c>
      <c r="Q14" s="29">
        <v>7</v>
      </c>
      <c r="R14" s="64">
        <v>44</v>
      </c>
      <c r="S14" s="58" t="s">
        <v>128</v>
      </c>
      <c r="T14" s="152"/>
      <c r="U14" s="29"/>
      <c r="V14" s="29"/>
      <c r="W14" s="29"/>
      <c r="X14" s="29"/>
      <c r="Y14" s="29"/>
      <c r="Z14" s="29"/>
      <c r="AA14" s="29"/>
    </row>
    <row r="15" spans="1:27" s="213" customFormat="1" ht="16.2" thickBot="1" x14ac:dyDescent="0.35">
      <c r="A15" s="218"/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20"/>
    </row>
    <row r="16" spans="1:27" s="33" customFormat="1" x14ac:dyDescent="0.3">
      <c r="A16" s="169"/>
      <c r="B16" s="189" t="s">
        <v>0</v>
      </c>
      <c r="C16" s="189"/>
      <c r="D16" s="189"/>
      <c r="E16" s="189"/>
      <c r="F16" s="190" t="s">
        <v>1</v>
      </c>
      <c r="G16" s="190"/>
      <c r="H16" s="190"/>
      <c r="I16" s="190"/>
      <c r="J16" s="189" t="s">
        <v>2</v>
      </c>
      <c r="K16" s="189"/>
      <c r="L16" s="189"/>
      <c r="M16" s="189"/>
      <c r="N16" s="189" t="s">
        <v>3</v>
      </c>
      <c r="O16" s="189"/>
      <c r="P16" s="189"/>
      <c r="Q16" s="189"/>
      <c r="R16" s="116" t="s">
        <v>171</v>
      </c>
      <c r="S16" s="155"/>
      <c r="T16" s="117"/>
    </row>
    <row r="17" spans="1:27" s="26" customFormat="1" x14ac:dyDescent="0.3">
      <c r="A17" s="172"/>
      <c r="B17" s="27" t="s">
        <v>4</v>
      </c>
      <c r="C17" s="27" t="s">
        <v>5</v>
      </c>
      <c r="D17" s="27" t="s">
        <v>6</v>
      </c>
      <c r="E17" s="27" t="s">
        <v>7</v>
      </c>
      <c r="F17" s="27" t="s">
        <v>4</v>
      </c>
      <c r="G17" s="27" t="s">
        <v>5</v>
      </c>
      <c r="H17" s="27" t="s">
        <v>6</v>
      </c>
      <c r="I17" s="27" t="s">
        <v>7</v>
      </c>
      <c r="J17" s="27" t="s">
        <v>4</v>
      </c>
      <c r="K17" s="27" t="s">
        <v>5</v>
      </c>
      <c r="L17" s="27" t="s">
        <v>6</v>
      </c>
      <c r="M17" s="27" t="s">
        <v>7</v>
      </c>
      <c r="N17" s="27" t="s">
        <v>4</v>
      </c>
      <c r="O17" s="27" t="s">
        <v>5</v>
      </c>
      <c r="P17" s="27" t="s">
        <v>6</v>
      </c>
      <c r="Q17" s="27" t="s">
        <v>7</v>
      </c>
      <c r="R17" s="59" t="s">
        <v>174</v>
      </c>
      <c r="S17" s="56"/>
      <c r="T17" s="150"/>
    </row>
    <row r="18" spans="1:27" s="26" customFormat="1" x14ac:dyDescent="0.3">
      <c r="A18" s="115" t="s">
        <v>177</v>
      </c>
      <c r="B18" s="26">
        <v>100.36</v>
      </c>
      <c r="C18" s="26">
        <v>0.91</v>
      </c>
      <c r="D18" s="26">
        <v>99</v>
      </c>
      <c r="E18" s="26">
        <v>101.8</v>
      </c>
      <c r="F18" s="26">
        <v>61.92</v>
      </c>
      <c r="G18" s="26">
        <v>9.09</v>
      </c>
      <c r="H18" s="26">
        <v>42</v>
      </c>
      <c r="I18" s="26">
        <v>71.8</v>
      </c>
      <c r="J18" s="26">
        <v>21.42</v>
      </c>
      <c r="K18" s="26">
        <v>9.09</v>
      </c>
      <c r="L18" s="26">
        <v>1.5</v>
      </c>
      <c r="M18" s="26">
        <v>31.3</v>
      </c>
      <c r="N18" s="26">
        <v>60</v>
      </c>
      <c r="O18" s="26">
        <v>0</v>
      </c>
      <c r="P18" s="26">
        <v>60</v>
      </c>
      <c r="Q18" s="26">
        <v>60</v>
      </c>
      <c r="R18" s="60">
        <v>24</v>
      </c>
      <c r="S18" s="56" t="s">
        <v>39</v>
      </c>
      <c r="T18" s="150"/>
    </row>
    <row r="19" spans="1:27" s="26" customFormat="1" x14ac:dyDescent="0.3">
      <c r="A19" s="115" t="s">
        <v>8</v>
      </c>
      <c r="B19" s="26">
        <v>107.79</v>
      </c>
      <c r="C19" s="26">
        <v>0.99</v>
      </c>
      <c r="D19" s="26">
        <v>105.6</v>
      </c>
      <c r="E19" s="26">
        <v>110</v>
      </c>
      <c r="F19" s="26">
        <v>203.29</v>
      </c>
      <c r="G19" s="26">
        <v>4.93</v>
      </c>
      <c r="H19" s="26">
        <v>194.8</v>
      </c>
      <c r="I19" s="26">
        <v>210.9</v>
      </c>
      <c r="J19" s="26">
        <v>98.99</v>
      </c>
      <c r="K19" s="26">
        <v>4.93</v>
      </c>
      <c r="L19" s="26">
        <v>90.5</v>
      </c>
      <c r="M19" s="26">
        <v>106.6</v>
      </c>
      <c r="N19" s="26">
        <v>59</v>
      </c>
      <c r="O19" s="26">
        <v>0.31</v>
      </c>
      <c r="P19" s="26">
        <v>58</v>
      </c>
      <c r="Q19" s="26">
        <v>60</v>
      </c>
      <c r="R19" s="60">
        <v>23</v>
      </c>
      <c r="S19" s="56" t="s">
        <v>40</v>
      </c>
      <c r="T19" s="150"/>
    </row>
    <row r="20" spans="1:27" s="26" customFormat="1" x14ac:dyDescent="0.3">
      <c r="A20" s="115" t="s">
        <v>9</v>
      </c>
      <c r="B20" s="26">
        <v>194.31</v>
      </c>
      <c r="C20" s="26">
        <v>5.42</v>
      </c>
      <c r="D20" s="26">
        <v>185</v>
      </c>
      <c r="E20" s="26">
        <v>206.2</v>
      </c>
      <c r="F20" s="112">
        <v>174.88</v>
      </c>
      <c r="G20" s="112">
        <v>23.91</v>
      </c>
      <c r="H20" s="112">
        <v>139.80000000000001</v>
      </c>
      <c r="I20" s="112">
        <v>223.7</v>
      </c>
      <c r="J20" s="112">
        <v>65.48</v>
      </c>
      <c r="K20" s="112">
        <v>23.91</v>
      </c>
      <c r="L20" s="112">
        <v>30.4</v>
      </c>
      <c r="M20" s="112">
        <v>114.3</v>
      </c>
      <c r="N20" s="112">
        <v>60</v>
      </c>
      <c r="O20" s="112">
        <v>0</v>
      </c>
      <c r="P20" s="112">
        <v>60</v>
      </c>
      <c r="Q20" s="112">
        <v>60</v>
      </c>
      <c r="R20" s="148">
        <v>27</v>
      </c>
      <c r="S20" s="56" t="s">
        <v>102</v>
      </c>
      <c r="T20" s="150"/>
    </row>
    <row r="21" spans="1:27" s="31" customFormat="1" ht="16.2" thickBot="1" x14ac:dyDescent="0.35">
      <c r="A21" s="23" t="s">
        <v>178</v>
      </c>
      <c r="B21" s="29">
        <v>100.66</v>
      </c>
      <c r="C21" s="29">
        <v>1.08</v>
      </c>
      <c r="D21" s="29">
        <v>99.3</v>
      </c>
      <c r="E21" s="29">
        <v>103.6</v>
      </c>
      <c r="F21" s="29">
        <v>722.4</v>
      </c>
      <c r="G21" s="29">
        <v>31.32</v>
      </c>
      <c r="H21" s="29">
        <v>660</v>
      </c>
      <c r="I21" s="29">
        <v>771.7</v>
      </c>
      <c r="J21" s="29">
        <v>73.2</v>
      </c>
      <c r="K21" s="29">
        <v>31.32</v>
      </c>
      <c r="L21" s="29">
        <v>10.8</v>
      </c>
      <c r="M21" s="29">
        <v>122.5</v>
      </c>
      <c r="N21" s="29">
        <v>6.07</v>
      </c>
      <c r="O21" s="29">
        <v>0.27</v>
      </c>
      <c r="P21" s="29">
        <v>6</v>
      </c>
      <c r="Q21" s="29">
        <v>7</v>
      </c>
      <c r="R21" s="64">
        <v>46</v>
      </c>
      <c r="S21" s="58" t="s">
        <v>136</v>
      </c>
      <c r="T21" s="152"/>
      <c r="U21" s="29"/>
      <c r="V21" s="29"/>
      <c r="W21" s="29"/>
      <c r="X21" s="29"/>
      <c r="Y21" s="29"/>
      <c r="Z21" s="29"/>
      <c r="AA21" s="29"/>
    </row>
    <row r="22" spans="1:27" s="213" customFormat="1" ht="16.2" thickBot="1" x14ac:dyDescent="0.35">
      <c r="A22" s="218"/>
      <c r="B22" s="219"/>
      <c r="C22" s="219"/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20"/>
    </row>
    <row r="23" spans="1:27" s="33" customFormat="1" x14ac:dyDescent="0.3">
      <c r="A23" s="169"/>
      <c r="B23" s="189" t="s">
        <v>0</v>
      </c>
      <c r="C23" s="189"/>
      <c r="D23" s="189"/>
      <c r="E23" s="189"/>
      <c r="F23" s="190" t="s">
        <v>1</v>
      </c>
      <c r="G23" s="190"/>
      <c r="H23" s="190"/>
      <c r="I23" s="190"/>
      <c r="J23" s="189" t="s">
        <v>2</v>
      </c>
      <c r="K23" s="189"/>
      <c r="L23" s="189"/>
      <c r="M23" s="189"/>
      <c r="N23" s="189" t="s">
        <v>3</v>
      </c>
      <c r="O23" s="189"/>
      <c r="P23" s="189"/>
      <c r="Q23" s="189"/>
      <c r="R23" s="116" t="s">
        <v>171</v>
      </c>
      <c r="S23" s="155"/>
      <c r="T23" s="117"/>
    </row>
    <row r="24" spans="1:27" s="26" customFormat="1" x14ac:dyDescent="0.3">
      <c r="A24" s="172"/>
      <c r="B24" s="27" t="s">
        <v>4</v>
      </c>
      <c r="C24" s="27" t="s">
        <v>5</v>
      </c>
      <c r="D24" s="27" t="s">
        <v>6</v>
      </c>
      <c r="E24" s="27" t="s">
        <v>7</v>
      </c>
      <c r="F24" s="27" t="s">
        <v>4</v>
      </c>
      <c r="G24" s="27" t="s">
        <v>5</v>
      </c>
      <c r="H24" s="27" t="s">
        <v>6</v>
      </c>
      <c r="I24" s="27" t="s">
        <v>7</v>
      </c>
      <c r="J24" s="27" t="s">
        <v>4</v>
      </c>
      <c r="K24" s="27" t="s">
        <v>5</v>
      </c>
      <c r="L24" s="27" t="s">
        <v>6</v>
      </c>
      <c r="M24" s="27" t="s">
        <v>7</v>
      </c>
      <c r="N24" s="27" t="s">
        <v>4</v>
      </c>
      <c r="O24" s="27" t="s">
        <v>5</v>
      </c>
      <c r="P24" s="27" t="s">
        <v>6</v>
      </c>
      <c r="Q24" s="27" t="s">
        <v>7</v>
      </c>
      <c r="R24" s="59" t="s">
        <v>174</v>
      </c>
      <c r="S24" s="56"/>
      <c r="T24" s="150"/>
    </row>
    <row r="25" spans="1:27" s="26" customFormat="1" x14ac:dyDescent="0.3">
      <c r="A25" s="115" t="s">
        <v>177</v>
      </c>
      <c r="B25" s="26">
        <v>95.82</v>
      </c>
      <c r="C25" s="26">
        <v>19.95</v>
      </c>
      <c r="D25" s="26">
        <v>0.6</v>
      </c>
      <c r="E25" s="26">
        <v>102.2</v>
      </c>
      <c r="F25" s="26">
        <v>62.72</v>
      </c>
      <c r="G25" s="26">
        <v>9.23</v>
      </c>
      <c r="H25" s="26">
        <v>42.7</v>
      </c>
      <c r="I25" s="26">
        <v>71.599999999999994</v>
      </c>
      <c r="J25" s="26">
        <v>22.22</v>
      </c>
      <c r="K25" s="26">
        <v>9.23</v>
      </c>
      <c r="L25" s="26">
        <v>2.2000000000000002</v>
      </c>
      <c r="M25" s="26">
        <v>31.1</v>
      </c>
      <c r="N25" s="26">
        <v>60</v>
      </c>
      <c r="O25" s="26">
        <v>0</v>
      </c>
      <c r="P25" s="26">
        <v>60</v>
      </c>
      <c r="Q25" s="26">
        <v>60</v>
      </c>
      <c r="R25" s="60">
        <v>23</v>
      </c>
      <c r="S25" s="56" t="s">
        <v>57</v>
      </c>
      <c r="T25" s="150"/>
    </row>
    <row r="26" spans="1:27" s="26" customFormat="1" x14ac:dyDescent="0.3">
      <c r="A26" s="115" t="s">
        <v>8</v>
      </c>
      <c r="B26" s="26">
        <v>107.83</v>
      </c>
      <c r="C26" s="26">
        <v>0.99</v>
      </c>
      <c r="D26" s="26">
        <v>105.7</v>
      </c>
      <c r="E26" s="26">
        <v>109.6</v>
      </c>
      <c r="F26" s="26">
        <v>201.94</v>
      </c>
      <c r="G26" s="26">
        <v>5.07</v>
      </c>
      <c r="H26" s="26">
        <v>195.1</v>
      </c>
      <c r="I26" s="26">
        <v>210.8</v>
      </c>
      <c r="J26" s="26">
        <v>97.24</v>
      </c>
      <c r="K26" s="26">
        <v>5.07</v>
      </c>
      <c r="L26" s="26">
        <v>90.4</v>
      </c>
      <c r="M26" s="26">
        <v>106.1</v>
      </c>
      <c r="N26" s="26">
        <v>59.24</v>
      </c>
      <c r="O26" s="26">
        <v>0.44</v>
      </c>
      <c r="P26" s="26">
        <v>59</v>
      </c>
      <c r="Q26" s="26">
        <v>60</v>
      </c>
      <c r="R26" s="60">
        <v>22</v>
      </c>
      <c r="S26" s="56" t="s">
        <v>63</v>
      </c>
      <c r="T26" s="150"/>
    </row>
    <row r="27" spans="1:27" s="26" customFormat="1" x14ac:dyDescent="0.3">
      <c r="A27" s="115" t="s">
        <v>9</v>
      </c>
      <c r="B27" s="28">
        <v>193.37</v>
      </c>
      <c r="C27" s="28">
        <v>6.52</v>
      </c>
      <c r="D27" s="28">
        <v>176.5</v>
      </c>
      <c r="E27" s="28">
        <v>209.8</v>
      </c>
      <c r="F27" s="28">
        <v>175.86</v>
      </c>
      <c r="G27" s="28">
        <v>21.96</v>
      </c>
      <c r="H27" s="28">
        <v>145.30000000000001</v>
      </c>
      <c r="I27" s="28">
        <v>227.9</v>
      </c>
      <c r="J27" s="28">
        <v>67.459999999999994</v>
      </c>
      <c r="K27" s="28">
        <v>21.96</v>
      </c>
      <c r="L27" s="28">
        <v>36.9</v>
      </c>
      <c r="M27" s="28">
        <v>119.5</v>
      </c>
      <c r="N27" s="28">
        <v>60</v>
      </c>
      <c r="O27" s="28">
        <v>0</v>
      </c>
      <c r="P27" s="28">
        <v>60</v>
      </c>
      <c r="Q27" s="28">
        <v>60</v>
      </c>
      <c r="R27" s="148">
        <v>28</v>
      </c>
      <c r="S27" s="58" t="s">
        <v>106</v>
      </c>
      <c r="T27" s="151"/>
      <c r="U27" s="28"/>
      <c r="V27" s="28"/>
      <c r="W27" s="28"/>
      <c r="X27" s="28"/>
      <c r="Y27" s="28"/>
      <c r="Z27" s="28"/>
      <c r="AA27" s="28"/>
    </row>
    <row r="28" spans="1:27" s="31" customFormat="1" ht="16.2" thickBot="1" x14ac:dyDescent="0.35">
      <c r="A28" s="23" t="s">
        <v>178</v>
      </c>
      <c r="B28" s="29">
        <v>100.79</v>
      </c>
      <c r="C28" s="29">
        <v>1.1599999999999999</v>
      </c>
      <c r="D28" s="29">
        <v>98</v>
      </c>
      <c r="E28" s="29">
        <v>103.4</v>
      </c>
      <c r="F28" s="29">
        <v>718.62</v>
      </c>
      <c r="G28" s="29">
        <v>31.07</v>
      </c>
      <c r="H28" s="29">
        <v>660.4</v>
      </c>
      <c r="I28" s="29">
        <v>767.8</v>
      </c>
      <c r="J28" s="29">
        <v>68.72</v>
      </c>
      <c r="K28" s="29">
        <v>31.07</v>
      </c>
      <c r="L28" s="29">
        <v>10.5</v>
      </c>
      <c r="M28" s="29">
        <v>117.9</v>
      </c>
      <c r="N28" s="29">
        <v>6.07</v>
      </c>
      <c r="O28" s="29">
        <v>0.27</v>
      </c>
      <c r="P28" s="29">
        <v>6</v>
      </c>
      <c r="Q28" s="29">
        <v>7</v>
      </c>
      <c r="R28" s="64">
        <v>46</v>
      </c>
      <c r="S28" s="58" t="s">
        <v>143</v>
      </c>
      <c r="T28" s="152"/>
      <c r="U28" s="29"/>
      <c r="V28" s="29"/>
      <c r="W28" s="29"/>
      <c r="X28" s="29"/>
      <c r="Y28" s="29"/>
      <c r="Z28" s="29"/>
      <c r="AA28" s="29"/>
    </row>
    <row r="29" spans="1:27" s="213" customFormat="1" ht="16.2" thickBot="1" x14ac:dyDescent="0.35">
      <c r="A29" s="218"/>
      <c r="B29" s="219"/>
      <c r="C29" s="219"/>
      <c r="D29" s="219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20"/>
    </row>
    <row r="30" spans="1:27" s="33" customFormat="1" x14ac:dyDescent="0.3">
      <c r="A30" s="167"/>
      <c r="B30" s="189" t="s">
        <v>0</v>
      </c>
      <c r="C30" s="189"/>
      <c r="D30" s="189"/>
      <c r="E30" s="189"/>
      <c r="F30" s="190" t="s">
        <v>1</v>
      </c>
      <c r="G30" s="190"/>
      <c r="H30" s="190"/>
      <c r="I30" s="190"/>
      <c r="J30" s="189" t="s">
        <v>2</v>
      </c>
      <c r="K30" s="189"/>
      <c r="L30" s="189"/>
      <c r="M30" s="189"/>
      <c r="N30" s="189" t="s">
        <v>3</v>
      </c>
      <c r="O30" s="189"/>
      <c r="P30" s="189"/>
      <c r="Q30" s="181"/>
      <c r="R30" s="116" t="s">
        <v>171</v>
      </c>
      <c r="S30" s="155"/>
      <c r="T30" s="117"/>
    </row>
    <row r="31" spans="1:27" s="26" customFormat="1" x14ac:dyDescent="0.3">
      <c r="A31" s="168"/>
      <c r="B31" s="27" t="s">
        <v>4</v>
      </c>
      <c r="C31" s="27" t="s">
        <v>5</v>
      </c>
      <c r="D31" s="27" t="s">
        <v>6</v>
      </c>
      <c r="E31" s="27" t="s">
        <v>7</v>
      </c>
      <c r="F31" s="27" t="s">
        <v>4</v>
      </c>
      <c r="G31" s="27" t="s">
        <v>5</v>
      </c>
      <c r="H31" s="27" t="s">
        <v>6</v>
      </c>
      <c r="I31" s="27" t="s">
        <v>7</v>
      </c>
      <c r="J31" s="27" t="s">
        <v>4</v>
      </c>
      <c r="K31" s="27" t="s">
        <v>5</v>
      </c>
      <c r="L31" s="27" t="s">
        <v>6</v>
      </c>
      <c r="M31" s="27" t="s">
        <v>7</v>
      </c>
      <c r="N31" s="27" t="s">
        <v>4</v>
      </c>
      <c r="O31" s="27" t="s">
        <v>5</v>
      </c>
      <c r="P31" s="27" t="s">
        <v>6</v>
      </c>
      <c r="Q31" s="59" t="s">
        <v>7</v>
      </c>
      <c r="R31" s="59" t="s">
        <v>174</v>
      </c>
      <c r="S31" s="56"/>
      <c r="T31" s="150"/>
    </row>
    <row r="32" spans="1:27" s="26" customFormat="1" x14ac:dyDescent="0.3">
      <c r="A32" s="115" t="s">
        <v>177</v>
      </c>
      <c r="B32" s="26">
        <v>97.84</v>
      </c>
      <c r="C32" s="26">
        <v>9.02</v>
      </c>
      <c r="D32" s="26">
        <v>56.3</v>
      </c>
      <c r="E32" s="26">
        <v>102.1</v>
      </c>
      <c r="F32" s="26">
        <v>62.04</v>
      </c>
      <c r="G32" s="26">
        <v>9.0500000000000007</v>
      </c>
      <c r="H32" s="26">
        <v>41.6</v>
      </c>
      <c r="I32" s="26">
        <v>71.900000000000006</v>
      </c>
      <c r="J32" s="26">
        <v>21.04</v>
      </c>
      <c r="K32" s="26">
        <v>9.0500000000000007</v>
      </c>
      <c r="L32" s="26">
        <v>0.6</v>
      </c>
      <c r="M32" s="26">
        <v>30.9</v>
      </c>
      <c r="N32" s="26">
        <v>60</v>
      </c>
      <c r="O32" s="26">
        <v>0</v>
      </c>
      <c r="P32" s="26">
        <v>60</v>
      </c>
      <c r="Q32" s="60">
        <v>60</v>
      </c>
      <c r="R32" s="60">
        <v>24</v>
      </c>
      <c r="S32" s="56" t="s">
        <v>69</v>
      </c>
      <c r="T32" s="150"/>
    </row>
    <row r="33" spans="1:27" s="26" customFormat="1" x14ac:dyDescent="0.3">
      <c r="A33" s="115" t="s">
        <v>8</v>
      </c>
      <c r="B33" s="26">
        <v>108.03</v>
      </c>
      <c r="C33" s="26">
        <v>0.68</v>
      </c>
      <c r="D33" s="26">
        <v>106.4</v>
      </c>
      <c r="E33" s="26">
        <v>108.9</v>
      </c>
      <c r="F33" s="26">
        <v>202.6</v>
      </c>
      <c r="G33" s="26">
        <v>5.25</v>
      </c>
      <c r="H33" s="26">
        <v>195.8</v>
      </c>
      <c r="I33" s="26">
        <v>211.4</v>
      </c>
      <c r="J33" s="26">
        <v>98.3</v>
      </c>
      <c r="K33" s="26">
        <v>5.25</v>
      </c>
      <c r="L33" s="26">
        <v>91.5</v>
      </c>
      <c r="M33" s="26">
        <v>107.1</v>
      </c>
      <c r="N33" s="26">
        <v>59.52</v>
      </c>
      <c r="O33" s="26">
        <v>0.51</v>
      </c>
      <c r="P33" s="26">
        <v>59</v>
      </c>
      <c r="Q33" s="60">
        <v>60</v>
      </c>
      <c r="R33" s="60">
        <v>22</v>
      </c>
      <c r="S33" s="56" t="s">
        <v>75</v>
      </c>
      <c r="T33" s="150"/>
    </row>
    <row r="34" spans="1:27" s="63" customFormat="1" x14ac:dyDescent="0.3">
      <c r="A34" s="115" t="s">
        <v>9</v>
      </c>
      <c r="B34" s="61">
        <v>192.27</v>
      </c>
      <c r="C34" s="61">
        <v>5.5</v>
      </c>
      <c r="D34" s="61">
        <v>180.9</v>
      </c>
      <c r="E34" s="61">
        <v>205.7</v>
      </c>
      <c r="F34" s="61">
        <v>178.63</v>
      </c>
      <c r="G34" s="61">
        <v>24.49</v>
      </c>
      <c r="H34" s="61">
        <v>131.6</v>
      </c>
      <c r="I34" s="61">
        <v>224.4</v>
      </c>
      <c r="J34" s="61">
        <v>70.53</v>
      </c>
      <c r="K34" s="61">
        <v>24.49</v>
      </c>
      <c r="L34" s="61">
        <v>23.5</v>
      </c>
      <c r="M34" s="61">
        <v>116.3</v>
      </c>
      <c r="N34" s="61">
        <v>60</v>
      </c>
      <c r="O34" s="61">
        <v>0</v>
      </c>
      <c r="P34" s="61">
        <v>60</v>
      </c>
      <c r="Q34" s="62">
        <v>60</v>
      </c>
      <c r="R34" s="148">
        <v>28</v>
      </c>
      <c r="S34" s="156" t="s">
        <v>112</v>
      </c>
    </row>
    <row r="35" spans="1:27" s="144" customFormat="1" ht="16.2" thickBot="1" x14ac:dyDescent="0.35">
      <c r="A35" s="23" t="s">
        <v>178</v>
      </c>
      <c r="B35" s="136">
        <v>100.57</v>
      </c>
      <c r="C35" s="136">
        <v>0.94</v>
      </c>
      <c r="D35" s="136">
        <v>98.8</v>
      </c>
      <c r="E35" s="136">
        <v>102.9</v>
      </c>
      <c r="F35" s="136">
        <v>721.83</v>
      </c>
      <c r="G35" s="136">
        <v>31.3</v>
      </c>
      <c r="H35" s="136">
        <v>659.5</v>
      </c>
      <c r="I35" s="136">
        <v>771</v>
      </c>
      <c r="J35" s="136">
        <v>73.430000000000007</v>
      </c>
      <c r="K35" s="136">
        <v>31.3</v>
      </c>
      <c r="L35" s="136">
        <v>11.1</v>
      </c>
      <c r="M35" s="136">
        <v>122.6</v>
      </c>
      <c r="N35" s="136">
        <v>6.04</v>
      </c>
      <c r="O35" s="136">
        <v>0.19</v>
      </c>
      <c r="P35" s="136">
        <v>6</v>
      </c>
      <c r="Q35" s="143">
        <v>7</v>
      </c>
      <c r="R35" s="143">
        <v>29</v>
      </c>
      <c r="S35" s="58" t="s">
        <v>151</v>
      </c>
      <c r="T35" s="153"/>
      <c r="U35" s="136"/>
      <c r="V35" s="136"/>
      <c r="W35" s="136"/>
      <c r="X35" s="136"/>
      <c r="Y35" s="136"/>
      <c r="Z35" s="136"/>
      <c r="AA35" s="136"/>
    </row>
    <row r="36" spans="1:27" s="265" customFormat="1" ht="16.2" thickBot="1" x14ac:dyDescent="0.35">
      <c r="A36" s="254"/>
      <c r="R36" s="266"/>
      <c r="S36" s="267"/>
      <c r="T36" s="268"/>
    </row>
    <row r="37" spans="1:27" s="26" customFormat="1" ht="15.6" customHeight="1" x14ac:dyDescent="0.3">
      <c r="A37" s="179"/>
      <c r="B37" s="221" t="s">
        <v>0</v>
      </c>
      <c r="C37" s="222"/>
      <c r="D37" s="222"/>
      <c r="E37" s="223"/>
      <c r="F37" s="224" t="s">
        <v>1</v>
      </c>
      <c r="G37" s="225"/>
      <c r="H37" s="225"/>
      <c r="I37" s="226"/>
      <c r="J37" s="221" t="s">
        <v>2</v>
      </c>
      <c r="K37" s="222"/>
      <c r="L37" s="222"/>
      <c r="M37" s="223"/>
      <c r="N37" s="221" t="s">
        <v>3</v>
      </c>
      <c r="O37" s="222"/>
      <c r="P37" s="222"/>
      <c r="Q37" s="223"/>
      <c r="R37" s="227" t="s">
        <v>176</v>
      </c>
      <c r="S37" s="45"/>
      <c r="T37" s="150"/>
    </row>
    <row r="38" spans="1:27" x14ac:dyDescent="0.3">
      <c r="A38" s="180"/>
      <c r="B38" s="67" t="s">
        <v>4</v>
      </c>
      <c r="C38" s="68" t="s">
        <v>172</v>
      </c>
      <c r="D38" s="68" t="s">
        <v>6</v>
      </c>
      <c r="E38" s="68" t="s">
        <v>7</v>
      </c>
      <c r="F38" s="68" t="s">
        <v>4</v>
      </c>
      <c r="G38" s="68" t="s">
        <v>172</v>
      </c>
      <c r="H38" s="68" t="s">
        <v>6</v>
      </c>
      <c r="I38" s="68" t="s">
        <v>7</v>
      </c>
      <c r="J38" s="68" t="s">
        <v>4</v>
      </c>
      <c r="K38" s="68" t="s">
        <v>172</v>
      </c>
      <c r="L38" s="68" t="s">
        <v>6</v>
      </c>
      <c r="M38" s="68" t="s">
        <v>7</v>
      </c>
      <c r="N38" s="68" t="s">
        <v>4</v>
      </c>
      <c r="O38" s="68" t="s">
        <v>172</v>
      </c>
      <c r="P38" s="68" t="s">
        <v>6</v>
      </c>
      <c r="Q38" s="68" t="s">
        <v>7</v>
      </c>
      <c r="R38" s="228"/>
    </row>
    <row r="39" spans="1:27" x14ac:dyDescent="0.3">
      <c r="A39" s="115" t="s">
        <v>177</v>
      </c>
      <c r="B39" s="26">
        <f>AVERAGE(B4,B11,B18,B25,B32)</f>
        <v>98.692000000000007</v>
      </c>
      <c r="C39" s="26">
        <f>_xlfn.STDEV.S(B4,B11,B18,B25,B32)</f>
        <v>1.8758251517665536</v>
      </c>
      <c r="D39" s="26">
        <f>MIN(D4,D11,D18,D25,D32)</f>
        <v>0.6</v>
      </c>
      <c r="E39" s="26">
        <f>MAX(E4,E11,E18,E25,E32)</f>
        <v>102.2</v>
      </c>
      <c r="F39" s="26">
        <f t="shared" ref="F39:R39" si="0">AVERAGE(F4,F11,F18,F25,F32)</f>
        <v>63.303999999999995</v>
      </c>
      <c r="G39" s="26">
        <f>_xlfn.STDEV.S(F4,F11,F18,F25,F32)</f>
        <v>2.747822774488923</v>
      </c>
      <c r="H39" s="26">
        <f>MIN(H4,H11,H18,H25,H32)</f>
        <v>41.6</v>
      </c>
      <c r="I39" s="26">
        <f>MAX(I4,I11,I18,I25,I32)</f>
        <v>71.900000000000006</v>
      </c>
      <c r="J39" s="26">
        <f t="shared" si="0"/>
        <v>22.544</v>
      </c>
      <c r="K39" s="26">
        <f>_xlfn.STDEV.S(J4,J11,J18,J25,J32)</f>
        <v>2.7582838867672912</v>
      </c>
      <c r="L39" s="26">
        <f>MIN(L4,L11,L18,L25,L32)</f>
        <v>0.6</v>
      </c>
      <c r="M39" s="26">
        <f>MAX(M4,M11,M18,M25,M32)</f>
        <v>31.3</v>
      </c>
      <c r="N39" s="26">
        <f t="shared" si="0"/>
        <v>59.820000000000007</v>
      </c>
      <c r="O39" s="26">
        <f>_xlfn.STDEV.S(N4,N11,N18,N25,N32)</f>
        <v>0.40249223594996147</v>
      </c>
      <c r="P39" s="26">
        <f>MIN(P4,P11,P18,P25,P32)</f>
        <v>59</v>
      </c>
      <c r="Q39" s="26">
        <f>MAX(Q4,Q11,Q18,Q25,Q32)</f>
        <v>60</v>
      </c>
      <c r="R39" s="60">
        <f t="shared" si="0"/>
        <v>24.8</v>
      </c>
    </row>
    <row r="40" spans="1:27" x14ac:dyDescent="0.3">
      <c r="A40" s="115" t="s">
        <v>8</v>
      </c>
      <c r="B40" s="26">
        <f t="shared" ref="B40:R42" si="1">AVERAGE(B5,B12,B19,B26,B33)</f>
        <v>107.876</v>
      </c>
      <c r="C40" s="26">
        <f t="shared" ref="C40:C42" si="2">_xlfn.STDEV.S(B5,B12,B19,B26,B33)</f>
        <v>0.208518584303654</v>
      </c>
      <c r="D40" s="26">
        <f t="shared" ref="D40:D42" si="3">MIN(D5,D12,D19,D26,D33)</f>
        <v>104.9</v>
      </c>
      <c r="E40" s="26">
        <f t="shared" ref="E40:E42" si="4">MAX(E5,E12,E19,E26,E33)</f>
        <v>110.1</v>
      </c>
      <c r="F40" s="26">
        <f t="shared" si="1"/>
        <v>202.59599999999998</v>
      </c>
      <c r="G40" s="26">
        <f t="shared" ref="G40:G42" si="5">_xlfn.STDEV.S(F5,F12,F19,F26,F33)</f>
        <v>0.70073532806617089</v>
      </c>
      <c r="H40" s="26">
        <f t="shared" ref="H40:H42" si="6">MIN(H5,H12,H19,H26,H33)</f>
        <v>190.7</v>
      </c>
      <c r="I40" s="26">
        <f t="shared" ref="I40:I42" si="7">MAX(I5,I12,I19,I26,I33)</f>
        <v>211.4</v>
      </c>
      <c r="J40" s="26">
        <f t="shared" si="1"/>
        <v>98.096000000000004</v>
      </c>
      <c r="K40" s="26">
        <f t="shared" ref="K40:K42" si="8">_xlfn.STDEV.S(J5,J12,J19,J26,J33)</f>
        <v>0.65270973640662033</v>
      </c>
      <c r="L40" s="26">
        <f t="shared" ref="L40:L42" si="9">MIN(L5,L12,L19,L26,L33)</f>
        <v>86.6</v>
      </c>
      <c r="M40" s="26">
        <f t="shared" ref="M40:M42" si="10">MAX(M5,M12,M19,M26,M33)</f>
        <v>107.1</v>
      </c>
      <c r="N40" s="26">
        <f t="shared" si="1"/>
        <v>59.141999999999996</v>
      </c>
      <c r="O40" s="26">
        <f t="shared" ref="O40:O42" si="11">_xlfn.STDEV.S(N5,N12,N19,N26,N33)</f>
        <v>0.23962470657259116</v>
      </c>
      <c r="P40" s="26">
        <f t="shared" ref="P40:P42" si="12">MIN(P5,P12,P19,P26,P33)</f>
        <v>58</v>
      </c>
      <c r="Q40" s="26">
        <f t="shared" ref="Q40:Q42" si="13">MAX(Q5,Q12,Q19,Q26,Q33)</f>
        <v>60</v>
      </c>
      <c r="R40" s="60">
        <f t="shared" si="1"/>
        <v>22.4</v>
      </c>
    </row>
    <row r="41" spans="1:27" x14ac:dyDescent="0.3">
      <c r="A41" s="115" t="s">
        <v>9</v>
      </c>
      <c r="B41" s="26">
        <f t="shared" si="1"/>
        <v>193.70599999999999</v>
      </c>
      <c r="C41" s="26">
        <f t="shared" si="2"/>
        <v>1.0083303030257456</v>
      </c>
      <c r="D41" s="26">
        <f t="shared" si="3"/>
        <v>176.5</v>
      </c>
      <c r="E41" s="26">
        <f t="shared" si="4"/>
        <v>209.8</v>
      </c>
      <c r="F41" s="26">
        <f t="shared" si="1"/>
        <v>177.18200000000002</v>
      </c>
      <c r="G41" s="26">
        <f t="shared" si="5"/>
        <v>3.0179827699972059</v>
      </c>
      <c r="H41" s="26">
        <f t="shared" si="6"/>
        <v>131.6</v>
      </c>
      <c r="I41" s="26">
        <f t="shared" si="7"/>
        <v>227.9</v>
      </c>
      <c r="J41" s="26">
        <f t="shared" si="1"/>
        <v>68.701999999999998</v>
      </c>
      <c r="K41" s="26">
        <f t="shared" si="8"/>
        <v>3.3846890551422892</v>
      </c>
      <c r="L41" s="26">
        <f t="shared" si="9"/>
        <v>23.5</v>
      </c>
      <c r="M41" s="26">
        <f t="shared" si="10"/>
        <v>119.5</v>
      </c>
      <c r="N41" s="26">
        <f t="shared" si="1"/>
        <v>60</v>
      </c>
      <c r="O41" s="26">
        <f t="shared" si="11"/>
        <v>0</v>
      </c>
      <c r="P41" s="26">
        <f t="shared" si="12"/>
        <v>60</v>
      </c>
      <c r="Q41" s="26">
        <f t="shared" si="13"/>
        <v>60</v>
      </c>
      <c r="R41" s="60">
        <f t="shared" si="1"/>
        <v>27.8</v>
      </c>
    </row>
    <row r="42" spans="1:27" ht="16.2" thickBot="1" x14ac:dyDescent="0.35">
      <c r="A42" s="23" t="s">
        <v>178</v>
      </c>
      <c r="B42" s="26">
        <f t="shared" si="1"/>
        <v>100.71000000000001</v>
      </c>
      <c r="C42" s="26">
        <f t="shared" si="2"/>
        <v>9.3541434669353093E-2</v>
      </c>
      <c r="D42" s="26">
        <f t="shared" si="3"/>
        <v>98</v>
      </c>
      <c r="E42" s="26">
        <f t="shared" si="4"/>
        <v>104.4</v>
      </c>
      <c r="F42" s="26">
        <f t="shared" si="1"/>
        <v>722.6</v>
      </c>
      <c r="G42" s="26">
        <f t="shared" si="5"/>
        <v>4.541282858400252</v>
      </c>
      <c r="H42" s="26">
        <f t="shared" si="6"/>
        <v>659.5</v>
      </c>
      <c r="I42" s="26">
        <f t="shared" si="7"/>
        <v>776</v>
      </c>
      <c r="J42" s="26">
        <f t="shared" si="1"/>
        <v>71.38000000000001</v>
      </c>
      <c r="K42" s="26">
        <f t="shared" si="8"/>
        <v>1.9588899918065874</v>
      </c>
      <c r="L42" s="26">
        <f t="shared" si="9"/>
        <v>10.5</v>
      </c>
      <c r="M42" s="26">
        <f t="shared" si="10"/>
        <v>122.6</v>
      </c>
      <c r="N42" s="26">
        <f t="shared" si="1"/>
        <v>6.1340000000000003</v>
      </c>
      <c r="O42" s="26">
        <f t="shared" si="11"/>
        <v>0.10261578825892236</v>
      </c>
      <c r="P42" s="26">
        <f t="shared" si="12"/>
        <v>6</v>
      </c>
      <c r="Q42" s="26">
        <f t="shared" si="13"/>
        <v>7</v>
      </c>
      <c r="R42" s="60">
        <f t="shared" si="1"/>
        <v>42</v>
      </c>
    </row>
    <row r="43" spans="1:27" x14ac:dyDescent="0.3">
      <c r="R43" s="119"/>
    </row>
    <row r="44" spans="1:27" x14ac:dyDescent="0.3">
      <c r="A44" s="135"/>
      <c r="R44" s="119"/>
    </row>
  </sheetData>
  <mergeCells count="36">
    <mergeCell ref="R37:R38"/>
    <mergeCell ref="A37:A38"/>
    <mergeCell ref="B37:E37"/>
    <mergeCell ref="F37:I37"/>
    <mergeCell ref="J37:M37"/>
    <mergeCell ref="N37:Q37"/>
    <mergeCell ref="A8:XFD8"/>
    <mergeCell ref="A1:XFD1"/>
    <mergeCell ref="A15:XFD15"/>
    <mergeCell ref="A22:XFD22"/>
    <mergeCell ref="A29:XFD29"/>
    <mergeCell ref="A9:A10"/>
    <mergeCell ref="B9:E9"/>
    <mergeCell ref="F9:I9"/>
    <mergeCell ref="J9:M9"/>
    <mergeCell ref="N9:Q9"/>
    <mergeCell ref="A2:A3"/>
    <mergeCell ref="B2:E2"/>
    <mergeCell ref="F2:I2"/>
    <mergeCell ref="J2:M2"/>
    <mergeCell ref="N2:Q2"/>
    <mergeCell ref="A23:A24"/>
    <mergeCell ref="B23:E23"/>
    <mergeCell ref="F23:I23"/>
    <mergeCell ref="J23:M23"/>
    <mergeCell ref="N23:Q23"/>
    <mergeCell ref="A16:A17"/>
    <mergeCell ref="B16:E16"/>
    <mergeCell ref="F16:I16"/>
    <mergeCell ref="J16:M16"/>
    <mergeCell ref="N16:Q16"/>
    <mergeCell ref="A30:A31"/>
    <mergeCell ref="B30:E30"/>
    <mergeCell ref="F30:I30"/>
    <mergeCell ref="J30:M30"/>
    <mergeCell ref="N30:Q30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22" zoomScale="85" zoomScaleNormal="85" workbookViewId="0">
      <selection activeCell="A36" sqref="A36:XFD36"/>
    </sheetView>
  </sheetViews>
  <sheetFormatPr defaultRowHeight="15.6" x14ac:dyDescent="0.3"/>
  <cols>
    <col min="1" max="1" width="21" style="2" customWidth="1"/>
    <col min="2" max="17" width="8.88671875" style="65"/>
    <col min="18" max="18" width="45.5546875" style="66" customWidth="1"/>
    <col min="19" max="16384" width="8.88671875" style="65"/>
  </cols>
  <sheetData>
    <row r="1" spans="1:27" s="217" customFormat="1" ht="16.2" thickBot="1" x14ac:dyDescent="0.35"/>
    <row r="2" spans="1:27" s="70" customFormat="1" x14ac:dyDescent="0.3">
      <c r="A2" s="169"/>
      <c r="B2" s="189" t="s">
        <v>0</v>
      </c>
      <c r="C2" s="189"/>
      <c r="D2" s="189"/>
      <c r="E2" s="189"/>
      <c r="F2" s="190" t="s">
        <v>1</v>
      </c>
      <c r="G2" s="190"/>
      <c r="H2" s="190"/>
      <c r="I2" s="190"/>
      <c r="J2" s="189" t="s">
        <v>2</v>
      </c>
      <c r="K2" s="189"/>
      <c r="L2" s="189"/>
      <c r="M2" s="189"/>
      <c r="N2" s="189" t="s">
        <v>3</v>
      </c>
      <c r="O2" s="189"/>
      <c r="P2" s="189"/>
      <c r="Q2" s="189"/>
      <c r="R2" s="69"/>
    </row>
    <row r="3" spans="1:27" ht="15.6" customHeight="1" x14ac:dyDescent="0.3">
      <c r="A3" s="172"/>
      <c r="B3" s="27" t="s">
        <v>4</v>
      </c>
      <c r="C3" s="27" t="s">
        <v>5</v>
      </c>
      <c r="D3" s="27" t="s">
        <v>6</v>
      </c>
      <c r="E3" s="27" t="s">
        <v>7</v>
      </c>
      <c r="F3" s="27" t="s">
        <v>4</v>
      </c>
      <c r="G3" s="27" t="s">
        <v>5</v>
      </c>
      <c r="H3" s="27" t="s">
        <v>6</v>
      </c>
      <c r="I3" s="27" t="s">
        <v>7</v>
      </c>
      <c r="J3" s="27" t="s">
        <v>4</v>
      </c>
      <c r="K3" s="27" t="s">
        <v>5</v>
      </c>
      <c r="L3" s="27" t="s">
        <v>6</v>
      </c>
      <c r="M3" s="27" t="s">
        <v>7</v>
      </c>
      <c r="N3" s="27" t="s">
        <v>4</v>
      </c>
      <c r="O3" s="27" t="s">
        <v>5</v>
      </c>
      <c r="P3" s="27" t="s">
        <v>6</v>
      </c>
      <c r="Q3" s="27" t="s">
        <v>7</v>
      </c>
    </row>
    <row r="4" spans="1:27" x14ac:dyDescent="0.3">
      <c r="A4" s="115" t="s">
        <v>177</v>
      </c>
      <c r="B4" s="28">
        <v>20.53</v>
      </c>
      <c r="C4" s="28">
        <v>13.43</v>
      </c>
      <c r="D4" s="28">
        <v>1</v>
      </c>
      <c r="E4" s="28">
        <v>83.7</v>
      </c>
      <c r="F4" s="28">
        <v>200.98</v>
      </c>
      <c r="G4" s="28">
        <v>39.840000000000003</v>
      </c>
      <c r="H4" s="28">
        <v>139.69999999999999</v>
      </c>
      <c r="I4" s="28">
        <v>272.2</v>
      </c>
      <c r="J4" s="28">
        <v>93.98</v>
      </c>
      <c r="K4" s="28">
        <v>39.840000000000003</v>
      </c>
      <c r="L4" s="28">
        <v>32.700000000000003</v>
      </c>
      <c r="M4" s="28">
        <v>165.2</v>
      </c>
      <c r="N4" s="28">
        <v>59.1</v>
      </c>
      <c r="O4" s="28">
        <v>0.3</v>
      </c>
      <c r="P4" s="28">
        <v>59</v>
      </c>
      <c r="Q4" s="28">
        <v>60</v>
      </c>
      <c r="R4" s="66" t="s">
        <v>159</v>
      </c>
      <c r="S4" s="71"/>
      <c r="T4" s="71"/>
      <c r="U4" s="71"/>
      <c r="V4" s="71"/>
      <c r="W4" s="71"/>
      <c r="X4" s="71"/>
      <c r="Y4" s="71"/>
      <c r="Z4" s="71"/>
      <c r="AA4" s="71"/>
    </row>
    <row r="5" spans="1:27" x14ac:dyDescent="0.3">
      <c r="A5" s="115" t="s">
        <v>8</v>
      </c>
      <c r="B5" s="28">
        <v>30.44</v>
      </c>
      <c r="C5" s="28">
        <v>11.78</v>
      </c>
      <c r="D5" s="28">
        <v>15.5</v>
      </c>
      <c r="E5" s="28">
        <v>77.2</v>
      </c>
      <c r="F5" s="28">
        <v>293.20999999999998</v>
      </c>
      <c r="G5" s="28">
        <v>41.4</v>
      </c>
      <c r="H5" s="28">
        <v>234.4</v>
      </c>
      <c r="I5" s="28">
        <v>371.8</v>
      </c>
      <c r="J5" s="28">
        <v>103.81</v>
      </c>
      <c r="K5" s="28">
        <v>41.4</v>
      </c>
      <c r="L5" s="28">
        <v>45</v>
      </c>
      <c r="M5" s="28">
        <v>182.4</v>
      </c>
      <c r="N5" s="28">
        <v>59</v>
      </c>
      <c r="O5" s="28">
        <v>0</v>
      </c>
      <c r="P5" s="28">
        <v>59</v>
      </c>
      <c r="Q5" s="28">
        <v>59</v>
      </c>
      <c r="R5" s="66" t="s">
        <v>155</v>
      </c>
      <c r="S5" s="71"/>
      <c r="T5" s="71"/>
      <c r="U5" s="71"/>
      <c r="V5" s="71"/>
      <c r="W5" s="71"/>
      <c r="X5" s="71"/>
      <c r="Y5" s="71"/>
      <c r="Z5" s="71"/>
      <c r="AA5" s="71"/>
    </row>
    <row r="6" spans="1:27" x14ac:dyDescent="0.3">
      <c r="A6" s="115" t="s">
        <v>9</v>
      </c>
      <c r="B6" s="28">
        <v>30.88</v>
      </c>
      <c r="C6" s="28">
        <v>9.86</v>
      </c>
      <c r="D6" s="28">
        <v>18.100000000000001</v>
      </c>
      <c r="E6" s="28">
        <v>66.5</v>
      </c>
      <c r="F6" s="28">
        <v>304.58</v>
      </c>
      <c r="G6" s="28">
        <v>41.2</v>
      </c>
      <c r="H6" s="28">
        <v>226.3</v>
      </c>
      <c r="I6" s="28">
        <v>379.6</v>
      </c>
      <c r="J6" s="28">
        <v>120.58</v>
      </c>
      <c r="K6" s="28">
        <v>41.2</v>
      </c>
      <c r="L6" s="28">
        <v>42.3</v>
      </c>
      <c r="M6" s="28">
        <v>195.6</v>
      </c>
      <c r="N6" s="28">
        <v>59.98</v>
      </c>
      <c r="O6" s="28">
        <v>0.14000000000000001</v>
      </c>
      <c r="P6" s="28">
        <v>59</v>
      </c>
      <c r="Q6" s="28">
        <v>60</v>
      </c>
      <c r="R6" s="66" t="s">
        <v>166</v>
      </c>
      <c r="S6" s="71"/>
      <c r="T6" s="71"/>
      <c r="U6" s="71"/>
      <c r="V6" s="71"/>
      <c r="W6" s="71"/>
      <c r="X6" s="71"/>
      <c r="Y6" s="71"/>
      <c r="Z6" s="71"/>
      <c r="AA6" s="71"/>
    </row>
    <row r="7" spans="1:27" s="74" customFormat="1" ht="15.6" customHeight="1" thickBot="1" x14ac:dyDescent="0.35">
      <c r="A7" s="23" t="s">
        <v>178</v>
      </c>
      <c r="B7" s="29">
        <v>20.66</v>
      </c>
      <c r="C7" s="29">
        <v>16.329999999999998</v>
      </c>
      <c r="D7" s="29">
        <v>1.5</v>
      </c>
      <c r="E7" s="29">
        <v>85.8</v>
      </c>
      <c r="F7" s="29">
        <v>198.65</v>
      </c>
      <c r="G7" s="29">
        <v>46.56</v>
      </c>
      <c r="H7" s="29">
        <v>131.1</v>
      </c>
      <c r="I7" s="29">
        <v>283.60000000000002</v>
      </c>
      <c r="J7" s="29">
        <v>108.85</v>
      </c>
      <c r="K7" s="29">
        <v>46.56</v>
      </c>
      <c r="L7" s="29">
        <v>41.3</v>
      </c>
      <c r="M7" s="29">
        <v>193.8</v>
      </c>
      <c r="N7" s="29">
        <v>60</v>
      </c>
      <c r="O7" s="29">
        <v>0</v>
      </c>
      <c r="P7" s="29">
        <v>60</v>
      </c>
      <c r="Q7" s="29">
        <v>60</v>
      </c>
      <c r="R7" s="72" t="s">
        <v>121</v>
      </c>
      <c r="S7" s="73"/>
      <c r="T7" s="73"/>
      <c r="U7" s="73"/>
      <c r="V7" s="73"/>
      <c r="W7" s="73"/>
      <c r="X7" s="73"/>
      <c r="Y7" s="73"/>
      <c r="Z7" s="73"/>
      <c r="AA7" s="73"/>
    </row>
    <row r="8" spans="1:27" s="75" customFormat="1" ht="16.2" thickBot="1" x14ac:dyDescent="0.35">
      <c r="A8" s="118"/>
      <c r="R8" s="76"/>
    </row>
    <row r="9" spans="1:27" s="70" customFormat="1" x14ac:dyDescent="0.3">
      <c r="A9" s="169"/>
      <c r="B9" s="189" t="s">
        <v>0</v>
      </c>
      <c r="C9" s="189"/>
      <c r="D9" s="189"/>
      <c r="E9" s="189"/>
      <c r="F9" s="190" t="s">
        <v>1</v>
      </c>
      <c r="G9" s="190"/>
      <c r="H9" s="190"/>
      <c r="I9" s="190"/>
      <c r="J9" s="189" t="s">
        <v>2</v>
      </c>
      <c r="K9" s="189"/>
      <c r="L9" s="189"/>
      <c r="M9" s="189"/>
      <c r="N9" s="189" t="s">
        <v>3</v>
      </c>
      <c r="O9" s="189"/>
      <c r="P9" s="189"/>
      <c r="Q9" s="189"/>
      <c r="R9" s="69"/>
    </row>
    <row r="10" spans="1:27" x14ac:dyDescent="0.3">
      <c r="A10" s="172"/>
      <c r="B10" s="27" t="s">
        <v>4</v>
      </c>
      <c r="C10" s="27" t="s">
        <v>5</v>
      </c>
      <c r="D10" s="27" t="s">
        <v>6</v>
      </c>
      <c r="E10" s="27" t="s">
        <v>7</v>
      </c>
      <c r="F10" s="27" t="s">
        <v>4</v>
      </c>
      <c r="G10" s="27" t="s">
        <v>5</v>
      </c>
      <c r="H10" s="27" t="s">
        <v>6</v>
      </c>
      <c r="I10" s="27" t="s">
        <v>7</v>
      </c>
      <c r="J10" s="27" t="s">
        <v>4</v>
      </c>
      <c r="K10" s="27" t="s">
        <v>5</v>
      </c>
      <c r="L10" s="27" t="s">
        <v>6</v>
      </c>
      <c r="M10" s="27" t="s">
        <v>7</v>
      </c>
      <c r="N10" s="27" t="s">
        <v>4</v>
      </c>
      <c r="O10" s="27" t="s">
        <v>5</v>
      </c>
      <c r="P10" s="27" t="s">
        <v>6</v>
      </c>
      <c r="Q10" s="27" t="s">
        <v>7</v>
      </c>
      <c r="R10" s="66" t="s">
        <v>160</v>
      </c>
    </row>
    <row r="11" spans="1:27" x14ac:dyDescent="0.3">
      <c r="A11" s="115" t="s">
        <v>177</v>
      </c>
      <c r="B11" s="28">
        <v>16.78</v>
      </c>
      <c r="C11" s="28">
        <v>11.22</v>
      </c>
      <c r="D11" s="28">
        <v>1</v>
      </c>
      <c r="E11" s="28">
        <v>78.2</v>
      </c>
      <c r="F11" s="28">
        <v>201.35</v>
      </c>
      <c r="G11" s="28">
        <v>41.3</v>
      </c>
      <c r="H11" s="28">
        <v>140.1</v>
      </c>
      <c r="I11" s="28">
        <v>271.89999999999998</v>
      </c>
      <c r="J11" s="28">
        <v>94.35</v>
      </c>
      <c r="K11" s="28">
        <v>41.3</v>
      </c>
      <c r="L11" s="28">
        <v>33.1</v>
      </c>
      <c r="M11" s="28">
        <v>164.9</v>
      </c>
      <c r="N11" s="28">
        <v>59.07</v>
      </c>
      <c r="O11" s="28">
        <v>0.26</v>
      </c>
      <c r="P11" s="28">
        <v>59</v>
      </c>
      <c r="Q11" s="28">
        <v>60</v>
      </c>
      <c r="R11" s="66" t="s">
        <v>156</v>
      </c>
      <c r="S11" s="71"/>
      <c r="T11" s="71"/>
      <c r="U11" s="71"/>
      <c r="V11" s="71"/>
      <c r="W11" s="71"/>
      <c r="X11" s="71"/>
      <c r="Y11" s="71"/>
      <c r="Z11" s="71"/>
      <c r="AA11" s="71"/>
    </row>
    <row r="12" spans="1:27" x14ac:dyDescent="0.3">
      <c r="A12" s="115" t="s">
        <v>8</v>
      </c>
      <c r="B12" s="28">
        <v>29.17</v>
      </c>
      <c r="C12" s="28">
        <v>11.18</v>
      </c>
      <c r="D12" s="28">
        <v>12.7</v>
      </c>
      <c r="E12" s="28">
        <v>68.599999999999994</v>
      </c>
      <c r="F12" s="28">
        <v>308.36</v>
      </c>
      <c r="G12" s="28">
        <v>57.91</v>
      </c>
      <c r="H12" s="28">
        <v>228.8</v>
      </c>
      <c r="I12" s="28">
        <v>407.5</v>
      </c>
      <c r="J12" s="28">
        <v>113.56</v>
      </c>
      <c r="K12" s="28">
        <v>57.91</v>
      </c>
      <c r="L12" s="28">
        <v>34</v>
      </c>
      <c r="M12" s="28">
        <v>212.7</v>
      </c>
      <c r="N12" s="28">
        <v>58.99</v>
      </c>
      <c r="O12" s="28">
        <v>0.1</v>
      </c>
      <c r="P12" s="28">
        <v>58</v>
      </c>
      <c r="Q12" s="28">
        <v>59</v>
      </c>
      <c r="R12" s="66" t="s">
        <v>156</v>
      </c>
      <c r="S12" s="71"/>
      <c r="T12" s="71"/>
      <c r="U12" s="71"/>
      <c r="V12" s="71"/>
      <c r="W12" s="71"/>
      <c r="X12" s="71"/>
      <c r="Y12" s="71"/>
      <c r="Z12" s="71"/>
      <c r="AA12" s="71"/>
    </row>
    <row r="13" spans="1:27" x14ac:dyDescent="0.3">
      <c r="A13" s="115" t="s">
        <v>9</v>
      </c>
      <c r="B13" s="28">
        <v>31.71</v>
      </c>
      <c r="C13" s="28">
        <v>10.41</v>
      </c>
      <c r="D13" s="28">
        <v>17.899999999999999</v>
      </c>
      <c r="E13" s="28">
        <v>69.8</v>
      </c>
      <c r="F13" s="28">
        <v>305.06</v>
      </c>
      <c r="G13" s="28">
        <v>41.36</v>
      </c>
      <c r="H13" s="28">
        <v>227.3</v>
      </c>
      <c r="I13" s="28">
        <v>381.3</v>
      </c>
      <c r="J13" s="28">
        <v>114.66</v>
      </c>
      <c r="K13" s="28">
        <v>41.36</v>
      </c>
      <c r="L13" s="28">
        <v>36.9</v>
      </c>
      <c r="M13" s="28">
        <v>190.9</v>
      </c>
      <c r="N13" s="28">
        <v>59.98</v>
      </c>
      <c r="O13" s="28">
        <v>0.14000000000000001</v>
      </c>
      <c r="P13" s="28">
        <v>59</v>
      </c>
      <c r="Q13" s="28">
        <v>60</v>
      </c>
      <c r="R13" s="66" t="s">
        <v>167</v>
      </c>
      <c r="S13" s="71"/>
      <c r="T13" s="71"/>
      <c r="U13" s="71"/>
      <c r="V13" s="71"/>
      <c r="W13" s="71"/>
      <c r="X13" s="71"/>
      <c r="Y13" s="71"/>
      <c r="Z13" s="71"/>
      <c r="AA13" s="71"/>
    </row>
    <row r="14" spans="1:27" s="74" customFormat="1" ht="16.2" thickBot="1" x14ac:dyDescent="0.35">
      <c r="A14" s="23" t="s">
        <v>178</v>
      </c>
      <c r="B14" s="29">
        <v>20.94</v>
      </c>
      <c r="C14" s="29">
        <v>15.5</v>
      </c>
      <c r="D14" s="29">
        <v>1.6</v>
      </c>
      <c r="E14" s="29">
        <v>74.3</v>
      </c>
      <c r="F14" s="29">
        <v>195.26</v>
      </c>
      <c r="G14" s="29">
        <v>42.85</v>
      </c>
      <c r="H14" s="29">
        <v>125.9</v>
      </c>
      <c r="I14" s="29">
        <v>273.89999999999998</v>
      </c>
      <c r="J14" s="29">
        <v>111.26</v>
      </c>
      <c r="K14" s="29">
        <v>42.85</v>
      </c>
      <c r="L14" s="29">
        <v>41.9</v>
      </c>
      <c r="M14" s="29">
        <v>189.9</v>
      </c>
      <c r="N14" s="29">
        <v>60</v>
      </c>
      <c r="O14" s="29">
        <v>0</v>
      </c>
      <c r="P14" s="29">
        <v>60</v>
      </c>
      <c r="Q14" s="29">
        <v>60</v>
      </c>
      <c r="R14" s="72" t="s">
        <v>129</v>
      </c>
      <c r="S14" s="73"/>
      <c r="T14" s="73"/>
      <c r="U14" s="73"/>
      <c r="V14" s="73"/>
      <c r="W14" s="73"/>
      <c r="X14" s="73"/>
      <c r="Y14" s="73"/>
      <c r="Z14" s="73"/>
      <c r="AA14" s="73"/>
    </row>
    <row r="15" spans="1:27" s="213" customFormat="1" ht="16.2" thickBot="1" x14ac:dyDescent="0.35"/>
    <row r="16" spans="1:27" s="70" customFormat="1" x14ac:dyDescent="0.3">
      <c r="A16" s="169"/>
      <c r="B16" s="189" t="s">
        <v>0</v>
      </c>
      <c r="C16" s="189"/>
      <c r="D16" s="189"/>
      <c r="E16" s="189"/>
      <c r="F16" s="190" t="s">
        <v>1</v>
      </c>
      <c r="G16" s="190"/>
      <c r="H16" s="190"/>
      <c r="I16" s="190"/>
      <c r="J16" s="189" t="s">
        <v>2</v>
      </c>
      <c r="K16" s="189"/>
      <c r="L16" s="189"/>
      <c r="M16" s="189"/>
      <c r="N16" s="189" t="s">
        <v>3</v>
      </c>
      <c r="O16" s="189"/>
      <c r="P16" s="189"/>
      <c r="Q16" s="189"/>
      <c r="R16" s="69"/>
    </row>
    <row r="17" spans="1:27" x14ac:dyDescent="0.3">
      <c r="A17" s="172"/>
      <c r="B17" s="27" t="s">
        <v>4</v>
      </c>
      <c r="C17" s="27" t="s">
        <v>5</v>
      </c>
      <c r="D17" s="27" t="s">
        <v>6</v>
      </c>
      <c r="E17" s="27" t="s">
        <v>7</v>
      </c>
      <c r="F17" s="27" t="s">
        <v>4</v>
      </c>
      <c r="G17" s="27" t="s">
        <v>5</v>
      </c>
      <c r="H17" s="27" t="s">
        <v>6</v>
      </c>
      <c r="I17" s="27" t="s">
        <v>7</v>
      </c>
      <c r="J17" s="27" t="s">
        <v>4</v>
      </c>
      <c r="K17" s="27" t="s">
        <v>5</v>
      </c>
      <c r="L17" s="27" t="s">
        <v>6</v>
      </c>
      <c r="M17" s="27" t="s">
        <v>7</v>
      </c>
      <c r="N17" s="27" t="s">
        <v>4</v>
      </c>
      <c r="O17" s="27" t="s">
        <v>5</v>
      </c>
      <c r="P17" s="27" t="s">
        <v>6</v>
      </c>
      <c r="Q17" s="27" t="s">
        <v>7</v>
      </c>
    </row>
    <row r="18" spans="1:27" x14ac:dyDescent="0.3">
      <c r="A18" s="115" t="s">
        <v>177</v>
      </c>
      <c r="B18" s="26">
        <v>18.8</v>
      </c>
      <c r="C18" s="26">
        <v>14.56</v>
      </c>
      <c r="D18" s="26">
        <v>1.1000000000000001</v>
      </c>
      <c r="E18" s="26">
        <v>73.400000000000006</v>
      </c>
      <c r="F18" s="26">
        <v>199.73</v>
      </c>
      <c r="G18" s="26">
        <v>41.46</v>
      </c>
      <c r="H18" s="26">
        <v>140.80000000000001</v>
      </c>
      <c r="I18" s="26">
        <v>272.3</v>
      </c>
      <c r="J18" s="26">
        <v>92.43</v>
      </c>
      <c r="K18" s="26">
        <v>41.46</v>
      </c>
      <c r="L18" s="26">
        <v>33.5</v>
      </c>
      <c r="M18" s="26">
        <v>165</v>
      </c>
      <c r="N18" s="26">
        <v>59.11</v>
      </c>
      <c r="O18" s="26">
        <v>0.31</v>
      </c>
      <c r="P18" s="26">
        <v>59</v>
      </c>
      <c r="Q18" s="26">
        <v>60</v>
      </c>
      <c r="R18" s="66" t="s">
        <v>41</v>
      </c>
    </row>
    <row r="19" spans="1:27" x14ac:dyDescent="0.3">
      <c r="A19" s="115" t="s">
        <v>8</v>
      </c>
      <c r="B19" s="26">
        <v>29.79</v>
      </c>
      <c r="C19" s="26">
        <v>11.28</v>
      </c>
      <c r="D19" s="26">
        <v>12.5</v>
      </c>
      <c r="E19" s="26">
        <v>78</v>
      </c>
      <c r="F19" s="26">
        <v>293.82</v>
      </c>
      <c r="G19" s="26">
        <v>42.12</v>
      </c>
      <c r="H19" s="26">
        <v>229.9</v>
      </c>
      <c r="I19" s="26">
        <v>370</v>
      </c>
      <c r="J19" s="26">
        <v>113.92</v>
      </c>
      <c r="K19" s="26">
        <v>42.12</v>
      </c>
      <c r="L19" s="26">
        <v>50</v>
      </c>
      <c r="M19" s="26">
        <v>190.1</v>
      </c>
      <c r="N19" s="26">
        <v>59.19</v>
      </c>
      <c r="O19" s="26">
        <v>0.42</v>
      </c>
      <c r="P19" s="26">
        <v>58</v>
      </c>
      <c r="Q19" s="26">
        <v>60</v>
      </c>
      <c r="R19" s="66" t="s">
        <v>42</v>
      </c>
    </row>
    <row r="20" spans="1:27" x14ac:dyDescent="0.3">
      <c r="A20" s="115" t="s">
        <v>9</v>
      </c>
      <c r="B20" s="28">
        <v>31.81</v>
      </c>
      <c r="C20" s="28">
        <v>10.220000000000001</v>
      </c>
      <c r="D20" s="28">
        <v>18.3</v>
      </c>
      <c r="E20" s="28">
        <v>73.7</v>
      </c>
      <c r="F20" s="28">
        <v>303.64</v>
      </c>
      <c r="G20" s="28">
        <v>41.39</v>
      </c>
      <c r="H20" s="28">
        <v>233.6</v>
      </c>
      <c r="I20" s="28">
        <v>380</v>
      </c>
      <c r="J20" s="28">
        <v>117.14</v>
      </c>
      <c r="K20" s="28">
        <v>41.39</v>
      </c>
      <c r="L20" s="28">
        <v>47.1</v>
      </c>
      <c r="M20" s="28">
        <v>193.5</v>
      </c>
      <c r="N20" s="28">
        <v>59.97</v>
      </c>
      <c r="O20" s="28">
        <v>0.17</v>
      </c>
      <c r="P20" s="28">
        <v>59</v>
      </c>
      <c r="Q20" s="28">
        <v>60</v>
      </c>
      <c r="R20" s="66" t="s">
        <v>168</v>
      </c>
      <c r="S20" s="71"/>
      <c r="T20" s="71"/>
      <c r="U20" s="71"/>
      <c r="V20" s="71"/>
      <c r="W20" s="71"/>
      <c r="X20" s="71"/>
      <c r="Y20" s="71"/>
      <c r="Z20" s="71"/>
      <c r="AA20" s="71"/>
    </row>
    <row r="21" spans="1:27" s="78" customFormat="1" ht="16.2" thickBot="1" x14ac:dyDescent="0.35">
      <c r="A21" s="23" t="s">
        <v>178</v>
      </c>
      <c r="B21" s="29">
        <v>20.18</v>
      </c>
      <c r="C21" s="29">
        <v>14.92</v>
      </c>
      <c r="D21" s="29">
        <v>1.2</v>
      </c>
      <c r="E21" s="29">
        <v>68.400000000000006</v>
      </c>
      <c r="F21" s="29">
        <v>193.87</v>
      </c>
      <c r="G21" s="29">
        <v>42.95</v>
      </c>
      <c r="H21" s="29">
        <v>124.4</v>
      </c>
      <c r="I21" s="29">
        <v>274.10000000000002</v>
      </c>
      <c r="J21" s="29">
        <v>106.47</v>
      </c>
      <c r="K21" s="29">
        <v>42.95</v>
      </c>
      <c r="L21" s="29">
        <v>37</v>
      </c>
      <c r="M21" s="29">
        <v>186.7</v>
      </c>
      <c r="N21" s="29">
        <v>60</v>
      </c>
      <c r="O21" s="29">
        <v>0</v>
      </c>
      <c r="P21" s="29">
        <v>60</v>
      </c>
      <c r="Q21" s="29">
        <v>60</v>
      </c>
      <c r="R21" s="72" t="s">
        <v>137</v>
      </c>
      <c r="S21" s="77"/>
      <c r="T21" s="77"/>
      <c r="U21" s="77"/>
      <c r="V21" s="77"/>
      <c r="W21" s="77"/>
      <c r="X21" s="77"/>
      <c r="Y21" s="77"/>
      <c r="Z21" s="77"/>
      <c r="AA21" s="77"/>
    </row>
    <row r="22" spans="1:27" s="213" customFormat="1" ht="16.2" thickBot="1" x14ac:dyDescent="0.35"/>
    <row r="23" spans="1:27" s="70" customFormat="1" x14ac:dyDescent="0.3">
      <c r="A23" s="169"/>
      <c r="B23" s="189" t="s">
        <v>0</v>
      </c>
      <c r="C23" s="189"/>
      <c r="D23" s="189"/>
      <c r="E23" s="189"/>
      <c r="F23" s="190" t="s">
        <v>1</v>
      </c>
      <c r="G23" s="190"/>
      <c r="H23" s="190"/>
      <c r="I23" s="190"/>
      <c r="J23" s="189" t="s">
        <v>2</v>
      </c>
      <c r="K23" s="189"/>
      <c r="L23" s="189"/>
      <c r="M23" s="189"/>
      <c r="N23" s="189" t="s">
        <v>3</v>
      </c>
      <c r="O23" s="189"/>
      <c r="P23" s="189"/>
      <c r="Q23" s="189"/>
      <c r="R23" s="69"/>
    </row>
    <row r="24" spans="1:27" x14ac:dyDescent="0.3">
      <c r="A24" s="172"/>
      <c r="B24" s="27" t="s">
        <v>4</v>
      </c>
      <c r="C24" s="27" t="s">
        <v>5</v>
      </c>
      <c r="D24" s="27" t="s">
        <v>6</v>
      </c>
      <c r="E24" s="27" t="s">
        <v>7</v>
      </c>
      <c r="F24" s="27" t="s">
        <v>4</v>
      </c>
      <c r="G24" s="27" t="s">
        <v>5</v>
      </c>
      <c r="H24" s="27" t="s">
        <v>6</v>
      </c>
      <c r="I24" s="27" t="s">
        <v>7</v>
      </c>
      <c r="J24" s="27" t="s">
        <v>4</v>
      </c>
      <c r="K24" s="27" t="s">
        <v>5</v>
      </c>
      <c r="L24" s="27" t="s">
        <v>6</v>
      </c>
      <c r="M24" s="27" t="s">
        <v>7</v>
      </c>
      <c r="N24" s="27" t="s">
        <v>4</v>
      </c>
      <c r="O24" s="27" t="s">
        <v>5</v>
      </c>
      <c r="P24" s="27" t="s">
        <v>6</v>
      </c>
      <c r="Q24" s="27" t="s">
        <v>7</v>
      </c>
    </row>
    <row r="25" spans="1:27" x14ac:dyDescent="0.3">
      <c r="A25" s="115" t="s">
        <v>177</v>
      </c>
      <c r="B25" s="26">
        <v>19.46</v>
      </c>
      <c r="C25" s="26">
        <v>14.46</v>
      </c>
      <c r="D25" s="26">
        <v>1.1000000000000001</v>
      </c>
      <c r="E25" s="26">
        <v>66.599999999999994</v>
      </c>
      <c r="F25" s="26">
        <v>200.18</v>
      </c>
      <c r="G25" s="26">
        <v>41.85</v>
      </c>
      <c r="H25" s="26">
        <v>140.5</v>
      </c>
      <c r="I25" s="26">
        <v>272.3</v>
      </c>
      <c r="J25" s="26">
        <v>93.58</v>
      </c>
      <c r="K25" s="26">
        <v>41.85</v>
      </c>
      <c r="L25" s="26">
        <v>33.9</v>
      </c>
      <c r="M25" s="26">
        <v>165.7</v>
      </c>
      <c r="N25" s="26">
        <v>59.73</v>
      </c>
      <c r="O25" s="26">
        <v>0.45</v>
      </c>
      <c r="P25" s="26">
        <v>59</v>
      </c>
      <c r="Q25" s="26">
        <v>60</v>
      </c>
      <c r="R25" s="66" t="s">
        <v>58</v>
      </c>
    </row>
    <row r="26" spans="1:27" x14ac:dyDescent="0.3">
      <c r="A26" s="115" t="s">
        <v>8</v>
      </c>
      <c r="B26" s="26">
        <v>29.46</v>
      </c>
      <c r="C26" s="26">
        <v>10.74</v>
      </c>
      <c r="D26" s="26">
        <v>15.6</v>
      </c>
      <c r="E26" s="26">
        <v>74.900000000000006</v>
      </c>
      <c r="F26" s="26">
        <v>290.55</v>
      </c>
      <c r="G26" s="26">
        <v>42.9</v>
      </c>
      <c r="H26" s="26">
        <v>222.6</v>
      </c>
      <c r="I26" s="26">
        <v>370.4</v>
      </c>
      <c r="J26" s="26">
        <v>112.75</v>
      </c>
      <c r="K26" s="26">
        <v>42.9</v>
      </c>
      <c r="L26" s="26">
        <v>44.8</v>
      </c>
      <c r="M26" s="26">
        <v>192.6</v>
      </c>
      <c r="N26" s="26">
        <v>59</v>
      </c>
      <c r="O26" s="26">
        <v>0</v>
      </c>
      <c r="P26" s="26">
        <v>59</v>
      </c>
      <c r="Q26" s="26">
        <v>59</v>
      </c>
      <c r="R26" s="66" t="s">
        <v>64</v>
      </c>
    </row>
    <row r="27" spans="1:27" x14ac:dyDescent="0.3">
      <c r="A27" s="115" t="s">
        <v>9</v>
      </c>
      <c r="B27" s="28">
        <v>31.61</v>
      </c>
      <c r="C27" s="28">
        <v>10.73</v>
      </c>
      <c r="D27" s="28">
        <v>18.100000000000001</v>
      </c>
      <c r="E27" s="28">
        <v>84.7</v>
      </c>
      <c r="F27" s="28">
        <v>305.43</v>
      </c>
      <c r="G27" s="28">
        <v>41.23</v>
      </c>
      <c r="H27" s="28">
        <v>242.7</v>
      </c>
      <c r="I27" s="28">
        <v>383.5</v>
      </c>
      <c r="J27" s="28">
        <v>115.33</v>
      </c>
      <c r="K27" s="28">
        <v>41.23</v>
      </c>
      <c r="L27" s="28">
        <v>52.6</v>
      </c>
      <c r="M27" s="28">
        <v>193.4</v>
      </c>
      <c r="N27" s="28">
        <v>59.98</v>
      </c>
      <c r="O27" s="28">
        <v>0.14000000000000001</v>
      </c>
      <c r="P27" s="28">
        <v>59</v>
      </c>
      <c r="Q27" s="28">
        <v>60</v>
      </c>
      <c r="R27" s="66" t="s">
        <v>169</v>
      </c>
      <c r="S27" s="71"/>
      <c r="T27" s="71"/>
      <c r="U27" s="71"/>
      <c r="V27" s="71"/>
      <c r="W27" s="71"/>
      <c r="X27" s="71"/>
      <c r="Y27" s="71"/>
      <c r="Z27" s="71"/>
      <c r="AA27" s="71"/>
    </row>
    <row r="28" spans="1:27" s="74" customFormat="1" ht="16.2" thickBot="1" x14ac:dyDescent="0.35">
      <c r="A28" s="23" t="s">
        <v>178</v>
      </c>
      <c r="B28" s="29">
        <v>20.07</v>
      </c>
      <c r="C28" s="29">
        <v>14.78</v>
      </c>
      <c r="D28" s="29">
        <v>1.6</v>
      </c>
      <c r="E28" s="29">
        <v>78.099999999999994</v>
      </c>
      <c r="F28" s="29">
        <v>196.92</v>
      </c>
      <c r="G28" s="29">
        <v>42.64</v>
      </c>
      <c r="H28" s="29">
        <v>132.69999999999999</v>
      </c>
      <c r="I28" s="29">
        <v>276.60000000000002</v>
      </c>
      <c r="J28" s="29">
        <v>99.92</v>
      </c>
      <c r="K28" s="29">
        <v>42.64</v>
      </c>
      <c r="L28" s="29">
        <v>35.700000000000003</v>
      </c>
      <c r="M28" s="29">
        <v>179.6</v>
      </c>
      <c r="N28" s="29">
        <v>60</v>
      </c>
      <c r="O28" s="29">
        <v>0</v>
      </c>
      <c r="P28" s="29">
        <v>60</v>
      </c>
      <c r="Q28" s="29">
        <v>60</v>
      </c>
      <c r="R28" s="72" t="s">
        <v>144</v>
      </c>
      <c r="S28" s="73"/>
      <c r="T28" s="73"/>
      <c r="U28" s="73"/>
      <c r="V28" s="73"/>
      <c r="W28" s="73"/>
      <c r="X28" s="73"/>
      <c r="Y28" s="73"/>
      <c r="Z28" s="73"/>
      <c r="AA28" s="73"/>
    </row>
    <row r="29" spans="1:27" s="213" customFormat="1" ht="16.2" thickBot="1" x14ac:dyDescent="0.35"/>
    <row r="30" spans="1:27" s="70" customFormat="1" x14ac:dyDescent="0.3">
      <c r="A30" s="167"/>
      <c r="B30" s="189" t="s">
        <v>0</v>
      </c>
      <c r="C30" s="189"/>
      <c r="D30" s="189"/>
      <c r="E30" s="189"/>
      <c r="F30" s="190" t="s">
        <v>1</v>
      </c>
      <c r="G30" s="190"/>
      <c r="H30" s="190"/>
      <c r="I30" s="190"/>
      <c r="J30" s="189" t="s">
        <v>2</v>
      </c>
      <c r="K30" s="189"/>
      <c r="L30" s="189"/>
      <c r="M30" s="189"/>
      <c r="N30" s="189" t="s">
        <v>3</v>
      </c>
      <c r="O30" s="189"/>
      <c r="P30" s="189"/>
      <c r="Q30" s="189"/>
      <c r="R30" s="69"/>
    </row>
    <row r="31" spans="1:27" x14ac:dyDescent="0.3">
      <c r="A31" s="168"/>
      <c r="B31" s="27" t="s">
        <v>4</v>
      </c>
      <c r="C31" s="27" t="s">
        <v>5</v>
      </c>
      <c r="D31" s="27" t="s">
        <v>6</v>
      </c>
      <c r="E31" s="27" t="s">
        <v>7</v>
      </c>
      <c r="F31" s="27" t="s">
        <v>4</v>
      </c>
      <c r="G31" s="27" t="s">
        <v>5</v>
      </c>
      <c r="H31" s="27" t="s">
        <v>6</v>
      </c>
      <c r="I31" s="27" t="s">
        <v>7</v>
      </c>
      <c r="J31" s="27" t="s">
        <v>4</v>
      </c>
      <c r="K31" s="27" t="s">
        <v>5</v>
      </c>
      <c r="L31" s="27" t="s">
        <v>6</v>
      </c>
      <c r="M31" s="27" t="s">
        <v>7</v>
      </c>
      <c r="N31" s="27" t="s">
        <v>4</v>
      </c>
      <c r="O31" s="27" t="s">
        <v>5</v>
      </c>
      <c r="P31" s="27" t="s">
        <v>6</v>
      </c>
      <c r="Q31" s="27" t="s">
        <v>7</v>
      </c>
    </row>
    <row r="32" spans="1:27" x14ac:dyDescent="0.3">
      <c r="A32" s="115" t="s">
        <v>177</v>
      </c>
      <c r="B32" s="28">
        <v>21.28</v>
      </c>
      <c r="C32" s="28">
        <v>16.54</v>
      </c>
      <c r="D32" s="28">
        <v>1.8</v>
      </c>
      <c r="E32" s="28">
        <v>86.6</v>
      </c>
      <c r="F32" s="28">
        <v>200.64</v>
      </c>
      <c r="G32" s="28">
        <v>41.69</v>
      </c>
      <c r="H32" s="28">
        <v>140.4</v>
      </c>
      <c r="I32" s="28">
        <v>278.10000000000002</v>
      </c>
      <c r="J32" s="28">
        <v>93.04</v>
      </c>
      <c r="K32" s="28">
        <v>41.69</v>
      </c>
      <c r="L32" s="28">
        <v>32.799999999999997</v>
      </c>
      <c r="M32" s="28">
        <v>170.5</v>
      </c>
      <c r="N32" s="28">
        <v>59.16</v>
      </c>
      <c r="O32" s="28">
        <v>0.37</v>
      </c>
      <c r="P32" s="28">
        <v>59</v>
      </c>
      <c r="Q32" s="28">
        <v>60</v>
      </c>
      <c r="R32" s="66" t="s">
        <v>158</v>
      </c>
      <c r="S32" s="71"/>
      <c r="T32" s="71"/>
      <c r="U32" s="71"/>
      <c r="V32" s="71"/>
      <c r="W32" s="71"/>
      <c r="X32" s="71"/>
      <c r="Y32" s="71"/>
      <c r="Z32" s="71"/>
      <c r="AA32" s="71"/>
    </row>
    <row r="33" spans="1:27" x14ac:dyDescent="0.3">
      <c r="A33" s="115" t="s">
        <v>8</v>
      </c>
      <c r="B33" s="26">
        <v>29.52</v>
      </c>
      <c r="C33" s="26">
        <v>11.35</v>
      </c>
      <c r="D33" s="26">
        <v>15.3</v>
      </c>
      <c r="E33" s="26">
        <v>86</v>
      </c>
      <c r="F33" s="26">
        <v>293.07</v>
      </c>
      <c r="G33" s="26">
        <v>41.82</v>
      </c>
      <c r="H33" s="26">
        <v>234.1</v>
      </c>
      <c r="I33" s="26">
        <v>372.1</v>
      </c>
      <c r="J33" s="26">
        <v>100.67</v>
      </c>
      <c r="K33" s="26">
        <v>41.82</v>
      </c>
      <c r="L33" s="26">
        <v>41.7</v>
      </c>
      <c r="M33" s="26">
        <v>179.7</v>
      </c>
      <c r="N33" s="26">
        <v>59</v>
      </c>
      <c r="O33" s="26">
        <v>0</v>
      </c>
      <c r="P33" s="26">
        <v>59</v>
      </c>
      <c r="Q33" s="26">
        <v>59</v>
      </c>
      <c r="R33" s="66" t="s">
        <v>74</v>
      </c>
    </row>
    <row r="34" spans="1:27" x14ac:dyDescent="0.3">
      <c r="A34" s="115" t="s">
        <v>9</v>
      </c>
      <c r="B34" s="28">
        <v>31.01</v>
      </c>
      <c r="C34" s="28">
        <v>9.8699999999999992</v>
      </c>
      <c r="D34" s="28">
        <v>16.399999999999999</v>
      </c>
      <c r="E34" s="28">
        <v>69.5</v>
      </c>
      <c r="F34" s="28">
        <v>304.75</v>
      </c>
      <c r="G34" s="28">
        <v>41.89</v>
      </c>
      <c r="H34" s="28">
        <v>221.6</v>
      </c>
      <c r="I34" s="28">
        <v>380.8</v>
      </c>
      <c r="J34" s="28">
        <v>120.15</v>
      </c>
      <c r="K34" s="28">
        <v>41.89</v>
      </c>
      <c r="L34" s="28">
        <v>37</v>
      </c>
      <c r="M34" s="28">
        <v>196.2</v>
      </c>
      <c r="N34" s="28">
        <v>59.87</v>
      </c>
      <c r="O34" s="28">
        <v>0.85</v>
      </c>
      <c r="P34" s="28">
        <v>52</v>
      </c>
      <c r="Q34" s="28">
        <v>60</v>
      </c>
      <c r="R34" s="66" t="s">
        <v>170</v>
      </c>
      <c r="S34" s="71"/>
      <c r="T34" s="71"/>
      <c r="U34" s="71"/>
      <c r="V34" s="71"/>
      <c r="W34" s="71"/>
      <c r="X34" s="71"/>
      <c r="Y34" s="71"/>
      <c r="Z34" s="71"/>
      <c r="AA34" s="71"/>
    </row>
    <row r="35" spans="1:27" s="78" customFormat="1" ht="16.2" thickBot="1" x14ac:dyDescent="0.35">
      <c r="A35" s="23" t="s">
        <v>178</v>
      </c>
      <c r="B35" s="29">
        <v>19.98</v>
      </c>
      <c r="C35" s="29">
        <v>14.79</v>
      </c>
      <c r="D35" s="29">
        <v>1.4</v>
      </c>
      <c r="E35" s="29">
        <v>72.5</v>
      </c>
      <c r="F35" s="29">
        <v>193.91</v>
      </c>
      <c r="G35" s="29">
        <v>42.78</v>
      </c>
      <c r="H35" s="29">
        <v>123.8</v>
      </c>
      <c r="I35" s="29">
        <v>272.10000000000002</v>
      </c>
      <c r="J35" s="29">
        <v>112.51</v>
      </c>
      <c r="K35" s="29">
        <v>42.78</v>
      </c>
      <c r="L35" s="29">
        <v>42.4</v>
      </c>
      <c r="M35" s="29">
        <v>190.7</v>
      </c>
      <c r="N35" s="29">
        <v>60</v>
      </c>
      <c r="O35" s="29">
        <v>0</v>
      </c>
      <c r="P35" s="29">
        <v>60</v>
      </c>
      <c r="Q35" s="29">
        <v>60</v>
      </c>
      <c r="R35" s="72" t="s">
        <v>152</v>
      </c>
      <c r="S35" s="77"/>
      <c r="T35" s="77"/>
      <c r="U35" s="77"/>
      <c r="V35" s="77"/>
      <c r="W35" s="77"/>
      <c r="X35" s="77"/>
      <c r="Y35" s="77"/>
      <c r="Z35" s="77"/>
      <c r="AA35" s="77"/>
    </row>
    <row r="36" spans="1:27" s="265" customFormat="1" ht="16.2" thickBot="1" x14ac:dyDescent="0.35">
      <c r="A36" s="254"/>
      <c r="R36" s="267"/>
    </row>
    <row r="37" spans="1:27" ht="15.6" customHeight="1" x14ac:dyDescent="0.3">
      <c r="A37" s="179"/>
      <c r="B37" s="221" t="s">
        <v>0</v>
      </c>
      <c r="C37" s="222"/>
      <c r="D37" s="222"/>
      <c r="E37" s="223"/>
      <c r="F37" s="224" t="s">
        <v>1</v>
      </c>
      <c r="G37" s="225"/>
      <c r="H37" s="225"/>
      <c r="I37" s="226"/>
      <c r="J37" s="221" t="s">
        <v>2</v>
      </c>
      <c r="K37" s="222"/>
      <c r="L37" s="222"/>
      <c r="M37" s="223"/>
      <c r="N37" s="221" t="s">
        <v>3</v>
      </c>
      <c r="O37" s="222"/>
      <c r="P37" s="222"/>
      <c r="Q37" s="223"/>
    </row>
    <row r="38" spans="1:27" x14ac:dyDescent="0.3">
      <c r="A38" s="180"/>
      <c r="B38" s="67" t="s">
        <v>4</v>
      </c>
      <c r="C38" s="68" t="s">
        <v>172</v>
      </c>
      <c r="D38" s="68" t="s">
        <v>6</v>
      </c>
      <c r="E38" s="68" t="s">
        <v>7</v>
      </c>
      <c r="F38" s="68" t="s">
        <v>4</v>
      </c>
      <c r="G38" s="68" t="s">
        <v>172</v>
      </c>
      <c r="H38" s="68" t="s">
        <v>6</v>
      </c>
      <c r="I38" s="68" t="s">
        <v>7</v>
      </c>
      <c r="J38" s="68" t="s">
        <v>4</v>
      </c>
      <c r="K38" s="68" t="s">
        <v>172</v>
      </c>
      <c r="L38" s="68" t="s">
        <v>6</v>
      </c>
      <c r="M38" s="68" t="s">
        <v>7</v>
      </c>
      <c r="N38" s="68" t="s">
        <v>4</v>
      </c>
      <c r="O38" s="68" t="s">
        <v>172</v>
      </c>
      <c r="P38" s="68" t="s">
        <v>6</v>
      </c>
      <c r="Q38" s="68" t="s">
        <v>7</v>
      </c>
    </row>
    <row r="39" spans="1:27" x14ac:dyDescent="0.3">
      <c r="A39" s="115" t="s">
        <v>177</v>
      </c>
      <c r="B39" s="26">
        <f>AVERAGE(B4,B11,B18,B25,B32)</f>
        <v>19.369999999999997</v>
      </c>
      <c r="C39" s="26">
        <f>_xlfn.STDEV.S(B4,B11,B18,B25,B32)</f>
        <v>1.7345604630568519</v>
      </c>
      <c r="D39" s="26">
        <f>MIN(D4,D11,D18,D25,D32)</f>
        <v>1</v>
      </c>
      <c r="E39" s="26">
        <f>MAX(E4,E11,E18,E25,E32)</f>
        <v>86.6</v>
      </c>
      <c r="F39" s="26">
        <f>AVERAGE(F4,F11,F18,F25,F32)</f>
        <v>200.57599999999999</v>
      </c>
      <c r="G39" s="26">
        <f>_xlfn.STDEV.S(F4,F11,F18,F25,F32)</f>
        <v>0.6401015544427292</v>
      </c>
      <c r="H39" s="26">
        <f>MIN(H4,H11,H18,H25,H32)</f>
        <v>139.69999999999999</v>
      </c>
      <c r="I39" s="26">
        <f>MAX(I4,I11,I18,I25,I32)</f>
        <v>278.10000000000002</v>
      </c>
      <c r="J39" s="26">
        <f>AVERAGE(J4,J11,J18,J25,J32)</f>
        <v>93.475999999999999</v>
      </c>
      <c r="K39" s="26">
        <f>_xlfn.STDEV.S(J4,J11,J18,J25,J32)</f>
        <v>0.76041436072709301</v>
      </c>
      <c r="L39" s="26">
        <f>MIN(L4,L11,L18,L25,L32)</f>
        <v>32.700000000000003</v>
      </c>
      <c r="M39" s="26">
        <f>MAX(M4,M11,M18,M25,M32)</f>
        <v>170.5</v>
      </c>
      <c r="N39" s="26">
        <f>AVERAGE(N4,N11,N18,N25,N32)</f>
        <v>59.233999999999995</v>
      </c>
      <c r="O39" s="26">
        <f>_xlfn.STDEV.S(N4,N11,N18,N25,N32)</f>
        <v>0.27915945264310732</v>
      </c>
      <c r="P39" s="26">
        <f>MIN(P4,P11,P18,P25,P32)</f>
        <v>59</v>
      </c>
      <c r="Q39" s="26">
        <f>MAX(Q4,Q11,Q18,Q25,Q32)</f>
        <v>60</v>
      </c>
    </row>
    <row r="40" spans="1:27" x14ac:dyDescent="0.3">
      <c r="A40" s="115" t="s">
        <v>8</v>
      </c>
      <c r="B40" s="26">
        <f>AVERAGE(B5,B12,B19,B26,B33)</f>
        <v>29.676000000000005</v>
      </c>
      <c r="C40" s="26">
        <f>_xlfn.STDEV.S(B5,B12,B19,B26,B33)</f>
        <v>0.48055176620214385</v>
      </c>
      <c r="D40" s="26">
        <f>MIN(D5,D12,D19,D26,D33)</f>
        <v>12.5</v>
      </c>
      <c r="E40" s="26">
        <f>MAX(E5,E12,E19,E26,E33)</f>
        <v>86</v>
      </c>
      <c r="F40" s="26">
        <f>AVERAGE(F5,F12,F19,F26,F33)</f>
        <v>295.80199999999996</v>
      </c>
      <c r="G40" s="26">
        <f>_xlfn.STDEV.S(F5,F12,F19,F26,F33)</f>
        <v>7.1308744204340115</v>
      </c>
      <c r="H40" s="26">
        <f>MIN(H5,H12,H19,H26,H33)</f>
        <v>222.6</v>
      </c>
      <c r="I40" s="26">
        <f>MAX(I5,I12,I19,I26,I33)</f>
        <v>407.5</v>
      </c>
      <c r="J40" s="26">
        <f>AVERAGE(J5,J12,J19,J26,J33)</f>
        <v>108.94200000000001</v>
      </c>
      <c r="K40" s="26">
        <f>_xlfn.STDEV.S(J5,J12,J19,J26,J33)</f>
        <v>6.2323887876158688</v>
      </c>
      <c r="L40" s="26">
        <f>MIN(L5,L12,L19,L26,L33)</f>
        <v>34</v>
      </c>
      <c r="M40" s="26">
        <f>AVERAGE(M5,M12,M19,M26,M33)</f>
        <v>191.5</v>
      </c>
      <c r="N40" s="26">
        <f>AVERAGE(N5,N12,N19,N26,N33)</f>
        <v>59.036000000000001</v>
      </c>
      <c r="O40" s="26">
        <f>_xlfn.STDEV.S(N5,N12,N19,N26,N33)</f>
        <v>8.6197447758038517E-2</v>
      </c>
      <c r="P40" s="26">
        <f>MIN(P5,P12,P19,P26,P33)</f>
        <v>58</v>
      </c>
      <c r="Q40" s="26">
        <f>MAX(Q5,Q12,Q19,Q26,Q33)</f>
        <v>60</v>
      </c>
    </row>
    <row r="41" spans="1:27" x14ac:dyDescent="0.3">
      <c r="A41" s="115" t="s">
        <v>9</v>
      </c>
      <c r="B41" s="26">
        <f>AVERAGE(B6,B13,B20,B27,B34)</f>
        <v>31.404000000000003</v>
      </c>
      <c r="C41" s="26">
        <f>_xlfn.STDEV.S(B6,B13,B20,B27,B34)</f>
        <v>0.42741080940940152</v>
      </c>
      <c r="D41" s="26">
        <f>MIN(D6,D13,D20,D27,D34)</f>
        <v>16.399999999999999</v>
      </c>
      <c r="E41" s="26">
        <f>MAX(E6,E13,E20,E27,E34)</f>
        <v>84.7</v>
      </c>
      <c r="F41" s="26">
        <f>AVERAGE(F6,F13,F20,F27,F34)</f>
        <v>304.69200000000001</v>
      </c>
      <c r="G41" s="26">
        <f>_xlfn.STDEV.S(F6,F13,F20,F27,F34)</f>
        <v>0.67131959601966862</v>
      </c>
      <c r="H41" s="26">
        <f>MIN(H6,H13,H20,H27,H34)</f>
        <v>221.6</v>
      </c>
      <c r="I41" s="26">
        <f>MAX(I6,I13,I20,I27,I34)</f>
        <v>383.5</v>
      </c>
      <c r="J41" s="26">
        <f>AVERAGE(J6,J13,J20,J27,J34)</f>
        <v>117.572</v>
      </c>
      <c r="K41" s="26">
        <f>_xlfn.STDEV.S(J6,J13,J20,J27,J34)</f>
        <v>2.7104925751604654</v>
      </c>
      <c r="L41" s="26">
        <f>MIN(L6,L13,L20,L27,L34)</f>
        <v>36.9</v>
      </c>
      <c r="M41" s="26">
        <f>AVERAGE(M6,M13,M20,M27,M34)</f>
        <v>193.92</v>
      </c>
      <c r="N41" s="26">
        <f>AVERAGE(N6,N13,N20,N27,N34)</f>
        <v>59.955999999999996</v>
      </c>
      <c r="O41" s="26">
        <f>_xlfn.STDEV.S(N6,N13,N20,N27,N34)</f>
        <v>4.8270073544588572E-2</v>
      </c>
      <c r="P41" s="26">
        <f>MIN(P6,P13,P20,P27,P34)</f>
        <v>52</v>
      </c>
      <c r="Q41" s="26">
        <f>MAX(Q6,Q13,Q20,Q27,Q34)</f>
        <v>60</v>
      </c>
    </row>
    <row r="42" spans="1:27" ht="16.2" thickBot="1" x14ac:dyDescent="0.35">
      <c r="A42" s="23" t="s">
        <v>178</v>
      </c>
      <c r="B42" s="26">
        <f>AVERAGE(B7,B14,B21,B28,B35)</f>
        <v>20.366</v>
      </c>
      <c r="C42" s="26">
        <f>_xlfn.STDEV.S(B7,B14,B21,B28,B35)</f>
        <v>0.41446350864702225</v>
      </c>
      <c r="D42" s="26">
        <f>MIN(D7,D14,D21,D28,D35)</f>
        <v>1.2</v>
      </c>
      <c r="E42" s="26">
        <f>MAX(E7,E14,E21,E28,E35)</f>
        <v>85.8</v>
      </c>
      <c r="F42" s="26">
        <f>AVERAGE(F7,F14,F21,F28,F35)</f>
        <v>195.72199999999998</v>
      </c>
      <c r="G42" s="26">
        <f>_xlfn.STDEV.S(F7,F14,F21,F28,F35)</f>
        <v>2.0576126943620858</v>
      </c>
      <c r="H42" s="26">
        <f>MIN(H7,H14,H21,H28,H35)</f>
        <v>123.8</v>
      </c>
      <c r="I42" s="26">
        <f>MAX(I7,I14,I21,I28,I35)</f>
        <v>283.60000000000002</v>
      </c>
      <c r="J42" s="26">
        <f>AVERAGE(J7,J14,J21,J28,J35)</f>
        <v>107.80200000000002</v>
      </c>
      <c r="K42" s="26">
        <f>_xlfn.STDEV.S(J7,J14,J21,J28,J35)</f>
        <v>4.9779885496051524</v>
      </c>
      <c r="L42" s="26">
        <f>MIN(L7,L14,L21,L28,L35)</f>
        <v>35.700000000000003</v>
      </c>
      <c r="M42" s="26">
        <f>AVERAGE(M7,M14,M21,M28,M35)</f>
        <v>188.14000000000001</v>
      </c>
      <c r="N42" s="26">
        <f>AVERAGE(N7,N14,N21,N28,N35)</f>
        <v>60</v>
      </c>
      <c r="O42" s="26">
        <f>_xlfn.STDEV.S(N7,N14,N21,N28,N35)</f>
        <v>0</v>
      </c>
      <c r="P42" s="26">
        <f>MIN(P7,P14,P21,P28,P35)</f>
        <v>60</v>
      </c>
      <c r="Q42" s="26">
        <f>MAX(Q7,Q14,Q21,Q28,Q35)</f>
        <v>60</v>
      </c>
    </row>
    <row r="44" spans="1:27" x14ac:dyDescent="0.3">
      <c r="A44" s="135"/>
    </row>
  </sheetData>
  <mergeCells count="34">
    <mergeCell ref="A37:A38"/>
    <mergeCell ref="B37:E37"/>
    <mergeCell ref="F37:I37"/>
    <mergeCell ref="J37:M37"/>
    <mergeCell ref="N37:Q37"/>
    <mergeCell ref="A1:XFD1"/>
    <mergeCell ref="A29:XFD29"/>
    <mergeCell ref="A22:XFD22"/>
    <mergeCell ref="A15:XFD15"/>
    <mergeCell ref="A9:A10"/>
    <mergeCell ref="B9:E9"/>
    <mergeCell ref="F9:I9"/>
    <mergeCell ref="J9:M9"/>
    <mergeCell ref="N9:Q9"/>
    <mergeCell ref="A2:A3"/>
    <mergeCell ref="B2:E2"/>
    <mergeCell ref="F2:I2"/>
    <mergeCell ref="J2:M2"/>
    <mergeCell ref="N2:Q2"/>
    <mergeCell ref="A23:A24"/>
    <mergeCell ref="B23:E23"/>
    <mergeCell ref="F23:I23"/>
    <mergeCell ref="J23:M23"/>
    <mergeCell ref="N23:Q23"/>
    <mergeCell ref="A16:A17"/>
    <mergeCell ref="B16:E16"/>
    <mergeCell ref="F16:I16"/>
    <mergeCell ref="J16:M16"/>
    <mergeCell ref="N16:Q16"/>
    <mergeCell ref="A30:A31"/>
    <mergeCell ref="B30:E30"/>
    <mergeCell ref="F30:I30"/>
    <mergeCell ref="J30:M30"/>
    <mergeCell ref="N30:Q30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25" workbookViewId="0">
      <selection activeCell="A36" sqref="A36:XFD36"/>
    </sheetView>
  </sheetViews>
  <sheetFormatPr defaultRowHeight="15.6" x14ac:dyDescent="0.3"/>
  <cols>
    <col min="1" max="1" width="21" style="2" customWidth="1"/>
    <col min="2" max="17" width="8.88671875" style="44"/>
    <col min="18" max="18" width="40.21875" style="91" customWidth="1"/>
    <col min="19" max="16384" width="8.88671875" style="44"/>
  </cols>
  <sheetData>
    <row r="1" spans="1:27" s="238" customFormat="1" ht="16.2" thickBot="1" x14ac:dyDescent="0.35">
      <c r="A1" s="235"/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7"/>
    </row>
    <row r="2" spans="1:27" s="81" customFormat="1" x14ac:dyDescent="0.3">
      <c r="A2" s="169"/>
      <c r="B2" s="189" t="s">
        <v>0</v>
      </c>
      <c r="C2" s="189"/>
      <c r="D2" s="189"/>
      <c r="E2" s="189"/>
      <c r="F2" s="190" t="s">
        <v>1</v>
      </c>
      <c r="G2" s="190"/>
      <c r="H2" s="190"/>
      <c r="I2" s="190"/>
      <c r="J2" s="189" t="s">
        <v>2</v>
      </c>
      <c r="K2" s="189"/>
      <c r="L2" s="189"/>
      <c r="M2" s="189"/>
      <c r="N2" s="189" t="s">
        <v>3</v>
      </c>
      <c r="O2" s="189"/>
      <c r="P2" s="189"/>
      <c r="Q2" s="189"/>
      <c r="R2" s="80"/>
    </row>
    <row r="3" spans="1:27" s="53" customFormat="1" ht="15.6" customHeight="1" x14ac:dyDescent="0.3">
      <c r="A3" s="172"/>
      <c r="B3" s="27" t="s">
        <v>4</v>
      </c>
      <c r="C3" s="82" t="s">
        <v>5</v>
      </c>
      <c r="D3" s="82" t="s">
        <v>6</v>
      </c>
      <c r="E3" s="82" t="s">
        <v>7</v>
      </c>
      <c r="F3" s="27" t="s">
        <v>4</v>
      </c>
      <c r="G3" s="82" t="s">
        <v>5</v>
      </c>
      <c r="H3" s="82" t="s">
        <v>6</v>
      </c>
      <c r="I3" s="82" t="s">
        <v>7</v>
      </c>
      <c r="J3" s="27" t="s">
        <v>4</v>
      </c>
      <c r="K3" s="82" t="s">
        <v>5</v>
      </c>
      <c r="L3" s="82" t="s">
        <v>6</v>
      </c>
      <c r="M3" s="82" t="s">
        <v>7</v>
      </c>
      <c r="N3" s="27" t="s">
        <v>4</v>
      </c>
      <c r="O3" s="82" t="s">
        <v>5</v>
      </c>
      <c r="P3" s="82" t="s">
        <v>6</v>
      </c>
      <c r="Q3" s="82" t="s">
        <v>7</v>
      </c>
      <c r="R3" s="83"/>
    </row>
    <row r="4" spans="1:27" s="53" customFormat="1" x14ac:dyDescent="0.3">
      <c r="A4" s="115" t="s">
        <v>177</v>
      </c>
      <c r="B4" s="84">
        <v>11.72</v>
      </c>
      <c r="C4" s="84">
        <v>6.4</v>
      </c>
      <c r="D4" s="84">
        <v>0.7</v>
      </c>
      <c r="E4" s="84">
        <v>23.2</v>
      </c>
      <c r="F4" s="84">
        <v>22.86</v>
      </c>
      <c r="G4" s="84">
        <v>2.12</v>
      </c>
      <c r="H4" s="84">
        <v>19</v>
      </c>
      <c r="I4" s="84">
        <v>35.700000000000003</v>
      </c>
      <c r="J4" s="84">
        <v>6.66</v>
      </c>
      <c r="K4" s="84">
        <v>2.12</v>
      </c>
      <c r="L4" s="84">
        <v>2.8</v>
      </c>
      <c r="M4" s="84">
        <v>19.5</v>
      </c>
      <c r="N4" s="84">
        <v>59</v>
      </c>
      <c r="O4" s="84">
        <v>0</v>
      </c>
      <c r="P4" s="84">
        <v>59</v>
      </c>
      <c r="Q4" s="84">
        <v>59</v>
      </c>
      <c r="R4" s="83" t="s">
        <v>43</v>
      </c>
    </row>
    <row r="5" spans="1:27" s="53" customFormat="1" x14ac:dyDescent="0.3">
      <c r="A5" s="115" t="s">
        <v>8</v>
      </c>
      <c r="B5" s="84">
        <v>12.07</v>
      </c>
      <c r="C5" s="84">
        <v>5.34</v>
      </c>
      <c r="D5" s="84">
        <v>1.1000000000000001</v>
      </c>
      <c r="E5" s="84">
        <v>32.200000000000003</v>
      </c>
      <c r="F5" s="84">
        <v>116.64</v>
      </c>
      <c r="G5" s="84">
        <v>0.53</v>
      </c>
      <c r="H5" s="84">
        <v>112.3</v>
      </c>
      <c r="I5" s="84">
        <v>119</v>
      </c>
      <c r="J5" s="84">
        <v>12.44</v>
      </c>
      <c r="K5" s="84">
        <v>0.53</v>
      </c>
      <c r="L5" s="84">
        <v>8.1</v>
      </c>
      <c r="M5" s="84">
        <v>14.8</v>
      </c>
      <c r="N5" s="84">
        <v>59.13</v>
      </c>
      <c r="O5" s="84">
        <v>0.33</v>
      </c>
      <c r="P5" s="84">
        <v>59</v>
      </c>
      <c r="Q5" s="84">
        <v>60</v>
      </c>
      <c r="R5" s="83" t="s">
        <v>44</v>
      </c>
    </row>
    <row r="6" spans="1:27" s="53" customFormat="1" x14ac:dyDescent="0.3">
      <c r="A6" s="115" t="s">
        <v>9</v>
      </c>
      <c r="B6" s="53">
        <v>22.75</v>
      </c>
      <c r="C6" s="53">
        <v>2.59</v>
      </c>
      <c r="D6" s="53">
        <v>19</v>
      </c>
      <c r="E6" s="53">
        <v>40.299999999999997</v>
      </c>
      <c r="F6" s="53">
        <v>116.76</v>
      </c>
      <c r="G6" s="53">
        <v>0.88</v>
      </c>
      <c r="H6" s="53">
        <v>114.6</v>
      </c>
      <c r="I6" s="53">
        <v>118.9</v>
      </c>
      <c r="J6" s="53">
        <v>8.9600000000000009</v>
      </c>
      <c r="K6" s="53">
        <v>0.88</v>
      </c>
      <c r="L6" s="53">
        <v>6.8</v>
      </c>
      <c r="M6" s="53">
        <v>11.1</v>
      </c>
      <c r="N6" s="53">
        <v>60</v>
      </c>
      <c r="O6" s="53">
        <v>0</v>
      </c>
      <c r="P6" s="53">
        <v>60</v>
      </c>
      <c r="Q6" s="53">
        <v>60</v>
      </c>
      <c r="R6" s="83" t="s">
        <v>82</v>
      </c>
    </row>
    <row r="7" spans="1:27" s="54" customFormat="1" ht="16.2" thickBot="1" x14ac:dyDescent="0.35">
      <c r="A7" s="23" t="s">
        <v>178</v>
      </c>
      <c r="B7" s="85">
        <v>11.87</v>
      </c>
      <c r="C7" s="85">
        <v>5.28</v>
      </c>
      <c r="D7" s="85">
        <v>0.9</v>
      </c>
      <c r="E7" s="85">
        <v>22.6</v>
      </c>
      <c r="F7" s="85">
        <v>37.42</v>
      </c>
      <c r="G7" s="85">
        <v>7.89</v>
      </c>
      <c r="H7" s="85">
        <v>22.9</v>
      </c>
      <c r="I7" s="85">
        <v>49.8</v>
      </c>
      <c r="J7" s="85">
        <v>21.72</v>
      </c>
      <c r="K7" s="85">
        <v>7.89</v>
      </c>
      <c r="L7" s="85">
        <v>7.2</v>
      </c>
      <c r="M7" s="85">
        <v>34.1</v>
      </c>
      <c r="N7" s="85">
        <v>59.98</v>
      </c>
      <c r="O7" s="85">
        <v>0.25</v>
      </c>
      <c r="P7" s="85">
        <v>59</v>
      </c>
      <c r="Q7" s="85">
        <v>61</v>
      </c>
      <c r="R7" s="86" t="s">
        <v>122</v>
      </c>
      <c r="S7" s="85"/>
      <c r="T7" s="85"/>
      <c r="U7" s="85"/>
      <c r="V7" s="85"/>
      <c r="W7" s="85"/>
      <c r="X7" s="85"/>
      <c r="Y7" s="85"/>
      <c r="Z7" s="85"/>
      <c r="AA7" s="85"/>
    </row>
    <row r="8" spans="1:27" s="234" customFormat="1" ht="16.2" thickBot="1" x14ac:dyDescent="0.35">
      <c r="A8" s="231"/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3"/>
    </row>
    <row r="9" spans="1:27" s="81" customFormat="1" x14ac:dyDescent="0.3">
      <c r="A9" s="169"/>
      <c r="B9" s="189" t="s">
        <v>0</v>
      </c>
      <c r="C9" s="189"/>
      <c r="D9" s="189"/>
      <c r="E9" s="189"/>
      <c r="F9" s="190" t="s">
        <v>1</v>
      </c>
      <c r="G9" s="190"/>
      <c r="H9" s="190"/>
      <c r="I9" s="190"/>
      <c r="J9" s="189" t="s">
        <v>2</v>
      </c>
      <c r="K9" s="189"/>
      <c r="L9" s="189"/>
      <c r="M9" s="189"/>
      <c r="N9" s="189" t="s">
        <v>3</v>
      </c>
      <c r="O9" s="189"/>
      <c r="P9" s="189"/>
      <c r="Q9" s="189"/>
      <c r="R9" s="80"/>
    </row>
    <row r="10" spans="1:27" s="53" customFormat="1" x14ac:dyDescent="0.3">
      <c r="A10" s="172"/>
      <c r="B10" s="27" t="s">
        <v>4</v>
      </c>
      <c r="C10" s="82" t="s">
        <v>5</v>
      </c>
      <c r="D10" s="82" t="s">
        <v>6</v>
      </c>
      <c r="E10" s="82" t="s">
        <v>7</v>
      </c>
      <c r="F10" s="27" t="s">
        <v>4</v>
      </c>
      <c r="G10" s="82" t="s">
        <v>5</v>
      </c>
      <c r="H10" s="82" t="s">
        <v>6</v>
      </c>
      <c r="I10" s="82" t="s">
        <v>7</v>
      </c>
      <c r="J10" s="27" t="s">
        <v>4</v>
      </c>
      <c r="K10" s="82" t="s">
        <v>5</v>
      </c>
      <c r="L10" s="82" t="s">
        <v>6</v>
      </c>
      <c r="M10" s="82" t="s">
        <v>7</v>
      </c>
      <c r="N10" s="27" t="s">
        <v>4</v>
      </c>
      <c r="O10" s="82" t="s">
        <v>5</v>
      </c>
      <c r="P10" s="82" t="s">
        <v>6</v>
      </c>
      <c r="Q10" s="82" t="s">
        <v>7</v>
      </c>
      <c r="R10" s="83"/>
    </row>
    <row r="11" spans="1:27" s="53" customFormat="1" x14ac:dyDescent="0.3">
      <c r="A11" s="115" t="s">
        <v>177</v>
      </c>
      <c r="B11" s="87">
        <v>12.9</v>
      </c>
      <c r="C11" s="87">
        <v>12.8</v>
      </c>
      <c r="D11" s="87">
        <v>0.9</v>
      </c>
      <c r="E11" s="87">
        <v>136.6</v>
      </c>
      <c r="F11" s="87">
        <v>22.5</v>
      </c>
      <c r="G11" s="87">
        <v>2.11</v>
      </c>
      <c r="H11" s="87">
        <v>19</v>
      </c>
      <c r="I11" s="87">
        <v>35.299999999999997</v>
      </c>
      <c r="J11" s="87">
        <v>6.3</v>
      </c>
      <c r="K11" s="87">
        <v>2.11</v>
      </c>
      <c r="L11" s="87">
        <v>2.8</v>
      </c>
      <c r="M11" s="87">
        <v>19.100000000000001</v>
      </c>
      <c r="N11" s="87">
        <v>59.99</v>
      </c>
      <c r="O11" s="87">
        <v>0.09</v>
      </c>
      <c r="P11" s="87">
        <v>59</v>
      </c>
      <c r="Q11" s="87">
        <v>60</v>
      </c>
      <c r="R11" s="83" t="s">
        <v>45</v>
      </c>
    </row>
    <row r="12" spans="1:27" s="53" customFormat="1" x14ac:dyDescent="0.3">
      <c r="A12" s="115" t="s">
        <v>8</v>
      </c>
      <c r="B12" s="87">
        <v>12.24</v>
      </c>
      <c r="C12" s="87">
        <v>5.26</v>
      </c>
      <c r="D12" s="87">
        <v>1.8</v>
      </c>
      <c r="E12" s="87">
        <v>35.299999999999997</v>
      </c>
      <c r="F12" s="87">
        <v>115.79</v>
      </c>
      <c r="G12" s="87">
        <v>0.33</v>
      </c>
      <c r="H12" s="87">
        <v>114.9</v>
      </c>
      <c r="I12" s="87">
        <v>117.6</v>
      </c>
      <c r="J12" s="87">
        <v>10.09</v>
      </c>
      <c r="K12" s="87">
        <v>0.33</v>
      </c>
      <c r="L12" s="87">
        <v>9.1999999999999993</v>
      </c>
      <c r="M12" s="87">
        <v>11.9</v>
      </c>
      <c r="N12" s="87">
        <v>59</v>
      </c>
      <c r="O12" s="87">
        <v>0</v>
      </c>
      <c r="P12" s="87">
        <v>59</v>
      </c>
      <c r="Q12" s="87">
        <v>59</v>
      </c>
      <c r="R12" s="83" t="s">
        <v>46</v>
      </c>
    </row>
    <row r="13" spans="1:27" s="53" customFormat="1" x14ac:dyDescent="0.3">
      <c r="A13" s="115" t="s">
        <v>9</v>
      </c>
      <c r="B13" s="53">
        <v>21.29</v>
      </c>
      <c r="C13" s="53">
        <v>2.97</v>
      </c>
      <c r="D13" s="53">
        <v>17.2</v>
      </c>
      <c r="E13" s="53">
        <v>43.2</v>
      </c>
      <c r="F13" s="53">
        <v>116.21</v>
      </c>
      <c r="G13" s="53">
        <v>0.55000000000000004</v>
      </c>
      <c r="H13" s="53">
        <v>113.7</v>
      </c>
      <c r="I13" s="53">
        <v>117.8</v>
      </c>
      <c r="J13" s="53">
        <v>8.11</v>
      </c>
      <c r="K13" s="53">
        <v>0.55000000000000004</v>
      </c>
      <c r="L13" s="53">
        <v>5.6</v>
      </c>
      <c r="M13" s="53">
        <v>9.6999999999999993</v>
      </c>
      <c r="N13" s="53">
        <v>60</v>
      </c>
      <c r="O13" s="53">
        <v>0</v>
      </c>
      <c r="P13" s="53">
        <v>60</v>
      </c>
      <c r="Q13" s="53">
        <v>60</v>
      </c>
      <c r="R13" s="83" t="s">
        <v>94</v>
      </c>
    </row>
    <row r="14" spans="1:27" s="54" customFormat="1" ht="16.2" thickBot="1" x14ac:dyDescent="0.35">
      <c r="A14" s="23" t="s">
        <v>178</v>
      </c>
      <c r="B14" s="85">
        <v>12.15</v>
      </c>
      <c r="C14" s="85">
        <v>5.29</v>
      </c>
      <c r="D14" s="85">
        <v>1.1000000000000001</v>
      </c>
      <c r="E14" s="85">
        <v>22.8</v>
      </c>
      <c r="F14" s="85">
        <v>37.54</v>
      </c>
      <c r="G14" s="85">
        <v>7.94</v>
      </c>
      <c r="H14" s="85">
        <v>23</v>
      </c>
      <c r="I14" s="85">
        <v>50.2</v>
      </c>
      <c r="J14" s="85">
        <v>21.94</v>
      </c>
      <c r="K14" s="85">
        <v>7.94</v>
      </c>
      <c r="L14" s="85">
        <v>7.4</v>
      </c>
      <c r="M14" s="85">
        <v>34.6</v>
      </c>
      <c r="N14" s="85">
        <v>59.98</v>
      </c>
      <c r="O14" s="85">
        <v>0.25</v>
      </c>
      <c r="P14" s="85">
        <v>59</v>
      </c>
      <c r="Q14" s="85">
        <v>61</v>
      </c>
      <c r="R14" s="86" t="s">
        <v>130</v>
      </c>
      <c r="S14" s="85"/>
      <c r="T14" s="85"/>
      <c r="U14" s="85"/>
      <c r="V14" s="85"/>
      <c r="W14" s="85"/>
      <c r="X14" s="85"/>
      <c r="Y14" s="85"/>
      <c r="Z14" s="85"/>
      <c r="AA14" s="85"/>
    </row>
    <row r="15" spans="1:27" s="234" customFormat="1" ht="16.2" thickBot="1" x14ac:dyDescent="0.35">
      <c r="A15" s="231"/>
      <c r="B15" s="232"/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  <c r="AA15" s="233"/>
    </row>
    <row r="16" spans="1:27" s="89" customFormat="1" x14ac:dyDescent="0.3">
      <c r="A16" s="169"/>
      <c r="B16" s="229" t="s">
        <v>0</v>
      </c>
      <c r="C16" s="229"/>
      <c r="D16" s="229"/>
      <c r="E16" s="229"/>
      <c r="F16" s="230" t="s">
        <v>1</v>
      </c>
      <c r="G16" s="230"/>
      <c r="H16" s="230"/>
      <c r="I16" s="230"/>
      <c r="J16" s="229" t="s">
        <v>2</v>
      </c>
      <c r="K16" s="229"/>
      <c r="L16" s="229"/>
      <c r="M16" s="229"/>
      <c r="N16" s="229" t="s">
        <v>3</v>
      </c>
      <c r="O16" s="229"/>
      <c r="P16" s="229"/>
      <c r="Q16" s="229"/>
      <c r="R16" s="88"/>
    </row>
    <row r="17" spans="1:27" s="53" customFormat="1" x14ac:dyDescent="0.3">
      <c r="A17" s="172"/>
      <c r="B17" s="27" t="s">
        <v>4</v>
      </c>
      <c r="C17" s="82" t="s">
        <v>5</v>
      </c>
      <c r="D17" s="82" t="s">
        <v>6</v>
      </c>
      <c r="E17" s="82" t="s">
        <v>7</v>
      </c>
      <c r="F17" s="27" t="s">
        <v>4</v>
      </c>
      <c r="G17" s="82" t="s">
        <v>5</v>
      </c>
      <c r="H17" s="82" t="s">
        <v>6</v>
      </c>
      <c r="I17" s="82" t="s">
        <v>7</v>
      </c>
      <c r="J17" s="27" t="s">
        <v>4</v>
      </c>
      <c r="K17" s="82" t="s">
        <v>5</v>
      </c>
      <c r="L17" s="82" t="s">
        <v>6</v>
      </c>
      <c r="M17" s="82" t="s">
        <v>7</v>
      </c>
      <c r="N17" s="27" t="s">
        <v>4</v>
      </c>
      <c r="O17" s="82" t="s">
        <v>5</v>
      </c>
      <c r="P17" s="82" t="s">
        <v>6</v>
      </c>
      <c r="Q17" s="82" t="s">
        <v>7</v>
      </c>
      <c r="R17" s="83"/>
    </row>
    <row r="18" spans="1:27" s="53" customFormat="1" x14ac:dyDescent="0.3">
      <c r="A18" s="115" t="s">
        <v>177</v>
      </c>
      <c r="B18" s="87">
        <v>12.52</v>
      </c>
      <c r="C18" s="87">
        <v>8.24</v>
      </c>
      <c r="D18" s="87">
        <v>0.7</v>
      </c>
      <c r="E18" s="87">
        <v>73.7</v>
      </c>
      <c r="F18" s="87">
        <v>22.78</v>
      </c>
      <c r="G18" s="87">
        <v>1.4</v>
      </c>
      <c r="H18" s="87">
        <v>19.3</v>
      </c>
      <c r="I18" s="87">
        <v>30.7</v>
      </c>
      <c r="J18" s="87">
        <v>6.48</v>
      </c>
      <c r="K18" s="87">
        <v>1.4</v>
      </c>
      <c r="L18" s="87">
        <v>3</v>
      </c>
      <c r="M18" s="87">
        <v>14.4</v>
      </c>
      <c r="N18" s="87">
        <v>59.74</v>
      </c>
      <c r="O18" s="87">
        <v>0.46</v>
      </c>
      <c r="P18" s="87">
        <v>58</v>
      </c>
      <c r="Q18" s="87">
        <v>60</v>
      </c>
      <c r="R18" s="83" t="s">
        <v>47</v>
      </c>
    </row>
    <row r="19" spans="1:27" s="53" customFormat="1" x14ac:dyDescent="0.3">
      <c r="A19" s="115" t="s">
        <v>8</v>
      </c>
      <c r="B19" s="87">
        <v>12.24</v>
      </c>
      <c r="C19" s="87">
        <v>5.07</v>
      </c>
      <c r="D19" s="87">
        <v>1.6</v>
      </c>
      <c r="E19" s="87">
        <v>30.4</v>
      </c>
      <c r="F19" s="87">
        <v>116.9</v>
      </c>
      <c r="G19" s="87">
        <v>0.47</v>
      </c>
      <c r="H19" s="87">
        <v>116.4</v>
      </c>
      <c r="I19" s="87">
        <v>119.8</v>
      </c>
      <c r="J19" s="87">
        <v>12.6</v>
      </c>
      <c r="K19" s="87">
        <v>0.47</v>
      </c>
      <c r="L19" s="87">
        <v>12.1</v>
      </c>
      <c r="M19" s="87">
        <v>15.5</v>
      </c>
      <c r="N19" s="87">
        <v>59</v>
      </c>
      <c r="O19" s="87">
        <v>0</v>
      </c>
      <c r="P19" s="87">
        <v>59</v>
      </c>
      <c r="Q19" s="87">
        <v>59</v>
      </c>
      <c r="R19" s="83" t="s">
        <v>48</v>
      </c>
    </row>
    <row r="20" spans="1:27" s="53" customFormat="1" x14ac:dyDescent="0.3">
      <c r="A20" s="115" t="s">
        <v>9</v>
      </c>
      <c r="B20" s="53">
        <v>22.18</v>
      </c>
      <c r="C20" s="53">
        <v>3.01</v>
      </c>
      <c r="D20" s="53">
        <v>15.3</v>
      </c>
      <c r="E20" s="53">
        <v>41.3</v>
      </c>
      <c r="F20" s="113">
        <v>116.92</v>
      </c>
      <c r="G20" s="113">
        <v>0.99</v>
      </c>
      <c r="H20" s="113">
        <v>115</v>
      </c>
      <c r="I20" s="113">
        <v>119.5</v>
      </c>
      <c r="J20" s="113">
        <v>8.42</v>
      </c>
      <c r="K20" s="113">
        <v>0.99</v>
      </c>
      <c r="L20" s="113">
        <v>6.5</v>
      </c>
      <c r="M20" s="113">
        <v>11</v>
      </c>
      <c r="N20" s="113">
        <v>60</v>
      </c>
      <c r="O20" s="113">
        <v>0</v>
      </c>
      <c r="P20" s="113">
        <v>60</v>
      </c>
      <c r="Q20" s="113">
        <v>60</v>
      </c>
      <c r="R20" s="83" t="s">
        <v>103</v>
      </c>
    </row>
    <row r="21" spans="1:27" s="54" customFormat="1" ht="16.2" thickBot="1" x14ac:dyDescent="0.35">
      <c r="A21" s="23" t="s">
        <v>178</v>
      </c>
      <c r="B21" s="85">
        <v>11.76</v>
      </c>
      <c r="C21" s="85">
        <v>5.25</v>
      </c>
      <c r="D21" s="85">
        <v>0.9</v>
      </c>
      <c r="E21" s="85">
        <v>22.4</v>
      </c>
      <c r="F21" s="85">
        <v>37.24</v>
      </c>
      <c r="G21" s="85">
        <v>7.76</v>
      </c>
      <c r="H21" s="85">
        <v>22.9</v>
      </c>
      <c r="I21" s="85">
        <v>49.5</v>
      </c>
      <c r="J21" s="85">
        <v>21.84</v>
      </c>
      <c r="K21" s="85">
        <v>7.76</v>
      </c>
      <c r="L21" s="85">
        <v>7.5</v>
      </c>
      <c r="M21" s="85">
        <v>34.1</v>
      </c>
      <c r="N21" s="85">
        <v>60</v>
      </c>
      <c r="O21" s="85">
        <v>0.22</v>
      </c>
      <c r="P21" s="85">
        <v>59</v>
      </c>
      <c r="Q21" s="85">
        <v>61</v>
      </c>
      <c r="R21" s="86" t="s">
        <v>165</v>
      </c>
      <c r="S21" s="85"/>
      <c r="T21" s="85"/>
      <c r="U21" s="85"/>
      <c r="V21" s="85"/>
      <c r="W21" s="85"/>
      <c r="X21" s="85"/>
      <c r="Y21" s="85"/>
      <c r="Z21" s="85"/>
      <c r="AA21" s="85"/>
    </row>
    <row r="22" spans="1:27" s="234" customFormat="1" ht="16.2" thickBot="1" x14ac:dyDescent="0.35">
      <c r="A22" s="231"/>
      <c r="B22" s="232"/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  <c r="AA22" s="233"/>
    </row>
    <row r="23" spans="1:27" s="81" customFormat="1" x14ac:dyDescent="0.3">
      <c r="A23" s="169"/>
      <c r="B23" s="189" t="s">
        <v>0</v>
      </c>
      <c r="C23" s="189"/>
      <c r="D23" s="189"/>
      <c r="E23" s="189"/>
      <c r="F23" s="190" t="s">
        <v>1</v>
      </c>
      <c r="G23" s="190"/>
      <c r="H23" s="190"/>
      <c r="I23" s="190"/>
      <c r="J23" s="189" t="s">
        <v>2</v>
      </c>
      <c r="K23" s="189"/>
      <c r="L23" s="189"/>
      <c r="M23" s="189"/>
      <c r="N23" s="189" t="s">
        <v>3</v>
      </c>
      <c r="O23" s="189"/>
      <c r="P23" s="189"/>
      <c r="Q23" s="189"/>
      <c r="R23" s="80"/>
    </row>
    <row r="24" spans="1:27" s="53" customFormat="1" x14ac:dyDescent="0.3">
      <c r="A24" s="172"/>
      <c r="B24" s="27" t="s">
        <v>4</v>
      </c>
      <c r="C24" s="82" t="s">
        <v>5</v>
      </c>
      <c r="D24" s="82" t="s">
        <v>6</v>
      </c>
      <c r="E24" s="82" t="s">
        <v>7</v>
      </c>
      <c r="F24" s="27" t="s">
        <v>4</v>
      </c>
      <c r="G24" s="82" t="s">
        <v>5</v>
      </c>
      <c r="H24" s="82" t="s">
        <v>6</v>
      </c>
      <c r="I24" s="82" t="s">
        <v>7</v>
      </c>
      <c r="J24" s="27" t="s">
        <v>4</v>
      </c>
      <c r="K24" s="82" t="s">
        <v>5</v>
      </c>
      <c r="L24" s="82" t="s">
        <v>6</v>
      </c>
      <c r="M24" s="82" t="s">
        <v>7</v>
      </c>
      <c r="N24" s="27" t="s">
        <v>4</v>
      </c>
      <c r="O24" s="82" t="s">
        <v>5</v>
      </c>
      <c r="P24" s="82" t="s">
        <v>6</v>
      </c>
      <c r="Q24" s="82" t="s">
        <v>7</v>
      </c>
      <c r="R24" s="83"/>
    </row>
    <row r="25" spans="1:27" s="53" customFormat="1" x14ac:dyDescent="0.3">
      <c r="A25" s="115" t="s">
        <v>177</v>
      </c>
      <c r="B25" s="53">
        <v>12.41</v>
      </c>
      <c r="C25" s="53">
        <v>8.48</v>
      </c>
      <c r="D25" s="53">
        <v>0.8</v>
      </c>
      <c r="E25" s="53">
        <v>75.2</v>
      </c>
      <c r="F25" s="53">
        <v>22.64</v>
      </c>
      <c r="G25" s="53">
        <v>1.49</v>
      </c>
      <c r="H25" s="53">
        <v>19</v>
      </c>
      <c r="I25" s="53">
        <v>30.4</v>
      </c>
      <c r="J25" s="53">
        <v>7.04</v>
      </c>
      <c r="K25" s="53">
        <v>1.49</v>
      </c>
      <c r="L25" s="53">
        <v>3.4</v>
      </c>
      <c r="M25" s="53">
        <v>14.8</v>
      </c>
      <c r="N25" s="53">
        <v>59.95</v>
      </c>
      <c r="O25" s="53">
        <v>0.21</v>
      </c>
      <c r="P25" s="53">
        <v>59</v>
      </c>
      <c r="Q25" s="53">
        <v>60</v>
      </c>
      <c r="R25" s="83" t="s">
        <v>59</v>
      </c>
    </row>
    <row r="26" spans="1:27" s="53" customFormat="1" x14ac:dyDescent="0.3">
      <c r="A26" s="115" t="s">
        <v>8</v>
      </c>
      <c r="B26" s="53">
        <v>12.27</v>
      </c>
      <c r="C26" s="53">
        <v>5.2</v>
      </c>
      <c r="D26" s="53">
        <v>1.6</v>
      </c>
      <c r="E26" s="53">
        <v>34.200000000000003</v>
      </c>
      <c r="F26" s="53">
        <v>117.76</v>
      </c>
      <c r="G26" s="53">
        <v>0.35</v>
      </c>
      <c r="H26" s="53">
        <v>116.5</v>
      </c>
      <c r="I26" s="53">
        <v>119.3</v>
      </c>
      <c r="J26" s="53">
        <v>13.16</v>
      </c>
      <c r="K26" s="53">
        <v>0.35</v>
      </c>
      <c r="L26" s="53">
        <v>11.9</v>
      </c>
      <c r="M26" s="53">
        <v>14.7</v>
      </c>
      <c r="N26" s="53">
        <v>59</v>
      </c>
      <c r="O26" s="53">
        <v>0</v>
      </c>
      <c r="P26" s="53">
        <v>59</v>
      </c>
      <c r="Q26" s="53">
        <v>59</v>
      </c>
      <c r="R26" s="83" t="s">
        <v>65</v>
      </c>
    </row>
    <row r="27" spans="1:27" s="53" customFormat="1" x14ac:dyDescent="0.3">
      <c r="A27" s="115" t="s">
        <v>9</v>
      </c>
      <c r="B27" s="90">
        <v>20.79</v>
      </c>
      <c r="C27" s="90">
        <v>2.3199999999999998</v>
      </c>
      <c r="D27" s="90">
        <v>17.600000000000001</v>
      </c>
      <c r="E27" s="90">
        <v>41</v>
      </c>
      <c r="F27" s="90">
        <v>116.16</v>
      </c>
      <c r="G27" s="90">
        <v>0.53</v>
      </c>
      <c r="H27" s="90">
        <v>113.9</v>
      </c>
      <c r="I27" s="90">
        <v>117.4</v>
      </c>
      <c r="J27" s="90">
        <v>9.16</v>
      </c>
      <c r="K27" s="90">
        <v>0.53</v>
      </c>
      <c r="L27" s="90">
        <v>6.9</v>
      </c>
      <c r="M27" s="90">
        <v>10.4</v>
      </c>
      <c r="N27" s="90">
        <v>60</v>
      </c>
      <c r="O27" s="90">
        <v>0</v>
      </c>
      <c r="P27" s="90">
        <v>60</v>
      </c>
      <c r="Q27" s="90">
        <v>60</v>
      </c>
      <c r="R27" s="83" t="s">
        <v>108</v>
      </c>
      <c r="S27" s="90"/>
      <c r="T27" s="90"/>
      <c r="U27" s="90"/>
      <c r="V27" s="90"/>
      <c r="W27" s="90"/>
      <c r="X27" s="90"/>
      <c r="Y27" s="90"/>
      <c r="Z27" s="90"/>
      <c r="AA27" s="90"/>
    </row>
    <row r="28" spans="1:27" s="54" customFormat="1" ht="16.2" thickBot="1" x14ac:dyDescent="0.35">
      <c r="A28" s="23" t="s">
        <v>178</v>
      </c>
      <c r="B28" s="85">
        <v>11.7</v>
      </c>
      <c r="C28" s="85">
        <v>5.41</v>
      </c>
      <c r="D28" s="85">
        <v>0.8</v>
      </c>
      <c r="E28" s="85">
        <v>23.8</v>
      </c>
      <c r="F28" s="85">
        <v>37.57</v>
      </c>
      <c r="G28" s="85">
        <v>7.98</v>
      </c>
      <c r="H28" s="85">
        <v>22.9</v>
      </c>
      <c r="I28" s="85">
        <v>51.4</v>
      </c>
      <c r="J28" s="85">
        <v>21.27</v>
      </c>
      <c r="K28" s="85">
        <v>7.98</v>
      </c>
      <c r="L28" s="85">
        <v>6.6</v>
      </c>
      <c r="M28" s="85">
        <v>35.1</v>
      </c>
      <c r="N28" s="85">
        <v>59.99</v>
      </c>
      <c r="O28" s="85">
        <v>0.37</v>
      </c>
      <c r="P28" s="85">
        <v>58</v>
      </c>
      <c r="Q28" s="85">
        <v>61</v>
      </c>
      <c r="R28" s="86" t="s">
        <v>145</v>
      </c>
      <c r="S28" s="85"/>
      <c r="T28" s="85"/>
      <c r="U28" s="85"/>
      <c r="V28" s="85"/>
      <c r="W28" s="85"/>
      <c r="X28" s="85"/>
      <c r="Y28" s="85"/>
      <c r="Z28" s="85"/>
      <c r="AA28" s="85"/>
    </row>
    <row r="29" spans="1:27" s="234" customFormat="1" ht="16.2" thickBot="1" x14ac:dyDescent="0.35">
      <c r="A29" s="231"/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3"/>
    </row>
    <row r="30" spans="1:27" s="81" customFormat="1" x14ac:dyDescent="0.3">
      <c r="A30" s="167"/>
      <c r="B30" s="189" t="s">
        <v>0</v>
      </c>
      <c r="C30" s="189"/>
      <c r="D30" s="189"/>
      <c r="E30" s="189"/>
      <c r="F30" s="190" t="s">
        <v>1</v>
      </c>
      <c r="G30" s="190"/>
      <c r="H30" s="190"/>
      <c r="I30" s="190"/>
      <c r="J30" s="189" t="s">
        <v>2</v>
      </c>
      <c r="K30" s="189"/>
      <c r="L30" s="189"/>
      <c r="M30" s="189"/>
      <c r="N30" s="189" t="s">
        <v>3</v>
      </c>
      <c r="O30" s="189"/>
      <c r="P30" s="189"/>
      <c r="Q30" s="189"/>
      <c r="R30" s="80"/>
    </row>
    <row r="31" spans="1:27" s="53" customFormat="1" x14ac:dyDescent="0.3">
      <c r="A31" s="168"/>
      <c r="B31" s="27" t="s">
        <v>4</v>
      </c>
      <c r="C31" s="82" t="s">
        <v>5</v>
      </c>
      <c r="D31" s="82" t="s">
        <v>6</v>
      </c>
      <c r="E31" s="82" t="s">
        <v>7</v>
      </c>
      <c r="F31" s="27" t="s">
        <v>4</v>
      </c>
      <c r="G31" s="82" t="s">
        <v>5</v>
      </c>
      <c r="H31" s="82" t="s">
        <v>6</v>
      </c>
      <c r="I31" s="82" t="s">
        <v>7</v>
      </c>
      <c r="J31" s="27" t="s">
        <v>4</v>
      </c>
      <c r="K31" s="82" t="s">
        <v>5</v>
      </c>
      <c r="L31" s="82" t="s">
        <v>6</v>
      </c>
      <c r="M31" s="82" t="s">
        <v>7</v>
      </c>
      <c r="N31" s="27" t="s">
        <v>4</v>
      </c>
      <c r="O31" s="82" t="s">
        <v>5</v>
      </c>
      <c r="P31" s="82" t="s">
        <v>6</v>
      </c>
      <c r="Q31" s="82" t="s">
        <v>7</v>
      </c>
      <c r="R31" s="83"/>
    </row>
    <row r="32" spans="1:27" s="53" customFormat="1" x14ac:dyDescent="0.3">
      <c r="A32" s="115" t="s">
        <v>177</v>
      </c>
      <c r="B32" s="53">
        <v>12.09</v>
      </c>
      <c r="C32" s="53">
        <v>6.32</v>
      </c>
      <c r="D32" s="53">
        <v>0.7</v>
      </c>
      <c r="E32" s="53">
        <v>24.5</v>
      </c>
      <c r="F32" s="53">
        <v>22.77</v>
      </c>
      <c r="G32" s="53">
        <v>1.18</v>
      </c>
      <c r="H32" s="53">
        <v>19</v>
      </c>
      <c r="I32" s="53">
        <v>28.8</v>
      </c>
      <c r="J32" s="53">
        <v>7.27</v>
      </c>
      <c r="K32" s="53">
        <v>1.18</v>
      </c>
      <c r="L32" s="53">
        <v>3.5</v>
      </c>
      <c r="M32" s="53">
        <v>13.3</v>
      </c>
      <c r="N32" s="53">
        <v>59.54</v>
      </c>
      <c r="O32" s="53">
        <v>0.5</v>
      </c>
      <c r="P32" s="53">
        <v>59</v>
      </c>
      <c r="Q32" s="53">
        <v>60</v>
      </c>
      <c r="R32" s="83" t="s">
        <v>70</v>
      </c>
    </row>
    <row r="33" spans="1:27" s="53" customFormat="1" x14ac:dyDescent="0.3">
      <c r="A33" s="115" t="s">
        <v>8</v>
      </c>
      <c r="B33" s="53">
        <v>12.2</v>
      </c>
      <c r="C33" s="53">
        <v>5.4</v>
      </c>
      <c r="D33" s="53">
        <v>1.4</v>
      </c>
      <c r="E33" s="53">
        <v>37.4</v>
      </c>
      <c r="F33" s="53">
        <v>116.79</v>
      </c>
      <c r="G33" s="53">
        <v>0.41</v>
      </c>
      <c r="H33" s="53">
        <v>115.6</v>
      </c>
      <c r="I33" s="53">
        <v>118.6</v>
      </c>
      <c r="J33" s="53">
        <v>11.29</v>
      </c>
      <c r="K33" s="53">
        <v>0.41</v>
      </c>
      <c r="L33" s="53">
        <v>10.1</v>
      </c>
      <c r="M33" s="53">
        <v>13.1</v>
      </c>
      <c r="N33" s="53">
        <v>59</v>
      </c>
      <c r="O33" s="53">
        <v>0</v>
      </c>
      <c r="P33" s="53">
        <v>59</v>
      </c>
      <c r="Q33" s="53">
        <v>59</v>
      </c>
      <c r="R33" s="83" t="s">
        <v>73</v>
      </c>
    </row>
    <row r="34" spans="1:27" s="53" customFormat="1" x14ac:dyDescent="0.3">
      <c r="A34" s="115" t="s">
        <v>9</v>
      </c>
      <c r="B34" s="90">
        <v>21.8</v>
      </c>
      <c r="C34" s="90">
        <v>2.72</v>
      </c>
      <c r="D34" s="90">
        <v>18.3</v>
      </c>
      <c r="E34" s="90">
        <v>40.9</v>
      </c>
      <c r="F34" s="90">
        <v>117.24</v>
      </c>
      <c r="G34" s="90">
        <v>0.92</v>
      </c>
      <c r="H34" s="90">
        <v>115</v>
      </c>
      <c r="I34" s="90">
        <v>119.3</v>
      </c>
      <c r="J34" s="90">
        <v>9.5399999999999991</v>
      </c>
      <c r="K34" s="90">
        <v>0.92</v>
      </c>
      <c r="L34" s="90">
        <v>7.3</v>
      </c>
      <c r="M34" s="90">
        <v>11.6</v>
      </c>
      <c r="N34" s="90">
        <v>60</v>
      </c>
      <c r="O34" s="90">
        <v>0</v>
      </c>
      <c r="P34" s="90">
        <v>60</v>
      </c>
      <c r="Q34" s="90">
        <v>60</v>
      </c>
      <c r="R34" s="83" t="s">
        <v>113</v>
      </c>
      <c r="S34" s="90"/>
      <c r="T34" s="90"/>
      <c r="U34" s="90"/>
      <c r="V34" s="90"/>
      <c r="W34" s="90"/>
      <c r="X34" s="90"/>
      <c r="Y34" s="90"/>
      <c r="Z34" s="90"/>
      <c r="AA34" s="90"/>
    </row>
    <row r="35" spans="1:27" s="54" customFormat="1" ht="16.2" thickBot="1" x14ac:dyDescent="0.35">
      <c r="A35" s="23" t="s">
        <v>178</v>
      </c>
      <c r="B35" s="85">
        <v>12.05</v>
      </c>
      <c r="C35" s="85">
        <v>4.7699999999999996</v>
      </c>
      <c r="D35" s="85">
        <v>0.9</v>
      </c>
      <c r="E35" s="85">
        <v>22.2</v>
      </c>
      <c r="F35" s="85">
        <v>36.85</v>
      </c>
      <c r="G35" s="85">
        <v>7.71</v>
      </c>
      <c r="H35" s="85">
        <v>22.9</v>
      </c>
      <c r="I35" s="85">
        <v>50.3</v>
      </c>
      <c r="J35" s="85">
        <v>21.35</v>
      </c>
      <c r="K35" s="85">
        <v>7.71</v>
      </c>
      <c r="L35" s="85">
        <v>7.4</v>
      </c>
      <c r="M35" s="85">
        <v>34.799999999999997</v>
      </c>
      <c r="N35" s="85">
        <v>59.98</v>
      </c>
      <c r="O35" s="85">
        <v>0.25</v>
      </c>
      <c r="P35" s="85">
        <v>58</v>
      </c>
      <c r="Q35" s="85">
        <v>61</v>
      </c>
      <c r="R35" s="86" t="s">
        <v>153</v>
      </c>
      <c r="S35" s="85"/>
      <c r="T35" s="85"/>
      <c r="U35" s="85"/>
      <c r="V35" s="85"/>
      <c r="W35" s="85"/>
      <c r="X35" s="85"/>
      <c r="Y35" s="85"/>
      <c r="Z35" s="85"/>
      <c r="AA35" s="85"/>
    </row>
    <row r="36" spans="1:27" s="260" customFormat="1" ht="16.2" thickBot="1" x14ac:dyDescent="0.35">
      <c r="A36" s="254"/>
      <c r="R36" s="261"/>
    </row>
    <row r="37" spans="1:27" ht="15.6" customHeight="1" x14ac:dyDescent="0.3">
      <c r="A37" s="179"/>
      <c r="B37" s="239" t="s">
        <v>0</v>
      </c>
      <c r="C37" s="240"/>
      <c r="D37" s="240"/>
      <c r="E37" s="241"/>
      <c r="F37" s="224" t="s">
        <v>1</v>
      </c>
      <c r="G37" s="225"/>
      <c r="H37" s="225"/>
      <c r="I37" s="226"/>
      <c r="J37" s="221" t="s">
        <v>2</v>
      </c>
      <c r="K37" s="222"/>
      <c r="L37" s="222"/>
      <c r="M37" s="223"/>
      <c r="N37" s="221" t="s">
        <v>3</v>
      </c>
      <c r="O37" s="222"/>
      <c r="P37" s="222"/>
      <c r="Q37" s="223"/>
    </row>
    <row r="38" spans="1:27" x14ac:dyDescent="0.3">
      <c r="A38" s="180"/>
      <c r="B38" s="67" t="s">
        <v>4</v>
      </c>
      <c r="C38" s="68" t="s">
        <v>172</v>
      </c>
      <c r="D38" s="68" t="s">
        <v>6</v>
      </c>
      <c r="E38" s="68" t="s">
        <v>7</v>
      </c>
      <c r="F38" s="68" t="s">
        <v>4</v>
      </c>
      <c r="G38" s="68" t="s">
        <v>172</v>
      </c>
      <c r="H38" s="68" t="s">
        <v>6</v>
      </c>
      <c r="I38" s="68" t="s">
        <v>7</v>
      </c>
      <c r="J38" s="68" t="s">
        <v>4</v>
      </c>
      <c r="K38" s="68" t="s">
        <v>172</v>
      </c>
      <c r="L38" s="68" t="s">
        <v>6</v>
      </c>
      <c r="M38" s="68" t="s">
        <v>7</v>
      </c>
      <c r="N38" s="68" t="s">
        <v>4</v>
      </c>
      <c r="O38" s="68" t="s">
        <v>172</v>
      </c>
      <c r="P38" s="68" t="s">
        <v>6</v>
      </c>
      <c r="Q38" s="68" t="s">
        <v>7</v>
      </c>
    </row>
    <row r="39" spans="1:27" x14ac:dyDescent="0.3">
      <c r="A39" s="115" t="s">
        <v>177</v>
      </c>
      <c r="B39" s="26">
        <f>AVERAGE(B4,B11,B18,B25,B32)</f>
        <v>12.327999999999999</v>
      </c>
      <c r="C39" s="26">
        <f>_xlfn.STDEV.S(B4,B11,B18,B25,B32)</f>
        <v>0.44639668457550163</v>
      </c>
      <c r="D39" s="26">
        <f>MIN(D4,D11,D18,D25,D32)</f>
        <v>0.7</v>
      </c>
      <c r="E39" s="26">
        <f>MAX(E4,E11,E18,E25,E32)</f>
        <v>136.6</v>
      </c>
      <c r="F39" s="26">
        <f t="shared" ref="F39:N39" si="0">AVERAGE(F4,F11,F18,F25,F32)</f>
        <v>22.71</v>
      </c>
      <c r="G39" s="26">
        <f>_xlfn.STDEV.S(F4,F11,F18,F25,F32)</f>
        <v>0.14142135623730939</v>
      </c>
      <c r="H39" s="26">
        <f>MIN(H4,H11,H18,H25,H32)</f>
        <v>19</v>
      </c>
      <c r="I39" s="26">
        <f>MAX(I4,I11,I18,I25,I32)</f>
        <v>35.700000000000003</v>
      </c>
      <c r="J39" s="26">
        <f t="shared" si="0"/>
        <v>6.75</v>
      </c>
      <c r="K39" s="26">
        <f>_xlfn.STDEV.S(J4,J11,J18,J25,J32)</f>
        <v>0.39937451095431697</v>
      </c>
      <c r="L39" s="26">
        <f>MIN(L4,L11,L18,L25,L32)</f>
        <v>2.8</v>
      </c>
      <c r="M39" s="26">
        <f>MAX(M4,M11,M18,M25,M32)</f>
        <v>19.5</v>
      </c>
      <c r="N39" s="26">
        <f t="shared" si="0"/>
        <v>59.644000000000005</v>
      </c>
      <c r="O39" s="26">
        <f>_xlfn.STDEV.S(N4,N11,N18,N25,N32)</f>
        <v>0.40252950202438692</v>
      </c>
      <c r="P39" s="26">
        <f>MIN(P4,P11,P18,P25,P32)</f>
        <v>58</v>
      </c>
      <c r="Q39" s="26">
        <f>MAX(Q4,Q11,Q18,Q25,Q32)</f>
        <v>60</v>
      </c>
    </row>
    <row r="40" spans="1:27" x14ac:dyDescent="0.3">
      <c r="A40" s="115" t="s">
        <v>8</v>
      </c>
      <c r="B40" s="26">
        <f t="shared" ref="B40:N42" si="1">AVERAGE(B5,B12,B19,B26,B33)</f>
        <v>12.204000000000002</v>
      </c>
      <c r="C40" s="26">
        <f t="shared" ref="C40:C42" si="2">_xlfn.STDEV.S(B5,B12,B19,B26,B33)</f>
        <v>7.8930349042684311E-2</v>
      </c>
      <c r="D40" s="26">
        <f t="shared" ref="D40:D42" si="3">MIN(D5,D12,D19,D26,D33)</f>
        <v>1.1000000000000001</v>
      </c>
      <c r="E40" s="26">
        <f t="shared" ref="E40:E42" si="4">MAX(E5,E12,E19,E26,E33)</f>
        <v>37.4</v>
      </c>
      <c r="F40" s="26">
        <f t="shared" si="1"/>
        <v>116.776</v>
      </c>
      <c r="G40" s="26">
        <f t="shared" ref="G40:G42" si="5">_xlfn.STDEV.S(F5,F12,F19,F26,F33)</f>
        <v>0.70258807277095148</v>
      </c>
      <c r="H40" s="26">
        <f t="shared" ref="H40:H42" si="6">MIN(H5,H12,H19,H26,H33)</f>
        <v>112.3</v>
      </c>
      <c r="I40" s="26">
        <f t="shared" ref="I40:I42" si="7">MAX(I5,I12,I19,I26,I33)</f>
        <v>119.8</v>
      </c>
      <c r="J40" s="26">
        <f t="shared" si="1"/>
        <v>11.916</v>
      </c>
      <c r="K40" s="26">
        <f t="shared" ref="K40:K42" si="8">_xlfn.STDEV.S(J5,J12,J19,J26,J33)</f>
        <v>1.2263890084308486</v>
      </c>
      <c r="L40" s="26">
        <f t="shared" ref="L40:L42" si="9">MIN(L5,L12,L19,L26,L33)</f>
        <v>8.1</v>
      </c>
      <c r="M40" s="26">
        <f t="shared" ref="M40:M42" si="10">MAX(M5,M12,M19,M26,M33)</f>
        <v>15.5</v>
      </c>
      <c r="N40" s="26">
        <f t="shared" si="1"/>
        <v>59.025999999999996</v>
      </c>
      <c r="O40" s="26">
        <f t="shared" ref="O40:O42" si="11">_xlfn.STDEV.S(N5,N12,N19,N26,N33)</f>
        <v>5.8137767414995677E-2</v>
      </c>
      <c r="P40" s="26">
        <f t="shared" ref="P40:P42" si="12">MIN(P5,P12,P19,P26,P33)</f>
        <v>59</v>
      </c>
      <c r="Q40" s="26">
        <f t="shared" ref="Q40:Q42" si="13">MAX(Q5,Q12,Q19,Q26,Q33)</f>
        <v>60</v>
      </c>
    </row>
    <row r="41" spans="1:27" x14ac:dyDescent="0.3">
      <c r="A41" s="115" t="s">
        <v>9</v>
      </c>
      <c r="B41" s="26">
        <f t="shared" si="1"/>
        <v>21.761999999999997</v>
      </c>
      <c r="C41" s="26">
        <f t="shared" si="2"/>
        <v>0.76155761436676639</v>
      </c>
      <c r="D41" s="26">
        <f t="shared" si="3"/>
        <v>15.3</v>
      </c>
      <c r="E41" s="26">
        <f t="shared" si="4"/>
        <v>43.2</v>
      </c>
      <c r="F41" s="26">
        <f t="shared" si="1"/>
        <v>116.65799999999999</v>
      </c>
      <c r="G41" s="26">
        <f t="shared" si="5"/>
        <v>0.46542453738495704</v>
      </c>
      <c r="H41" s="26">
        <f t="shared" si="6"/>
        <v>113.7</v>
      </c>
      <c r="I41" s="26">
        <f t="shared" si="7"/>
        <v>119.5</v>
      </c>
      <c r="J41" s="26">
        <f t="shared" si="1"/>
        <v>8.838000000000001</v>
      </c>
      <c r="K41" s="26">
        <f t="shared" si="8"/>
        <v>0.57360264992414389</v>
      </c>
      <c r="L41" s="26">
        <f t="shared" si="9"/>
        <v>5.6</v>
      </c>
      <c r="M41" s="26">
        <f t="shared" si="10"/>
        <v>11.6</v>
      </c>
      <c r="N41" s="26">
        <f t="shared" si="1"/>
        <v>60</v>
      </c>
      <c r="O41" s="26">
        <f t="shared" si="11"/>
        <v>0</v>
      </c>
      <c r="P41" s="26">
        <f t="shared" si="12"/>
        <v>60</v>
      </c>
      <c r="Q41" s="26">
        <f t="shared" si="13"/>
        <v>60</v>
      </c>
    </row>
    <row r="42" spans="1:27" ht="16.2" thickBot="1" x14ac:dyDescent="0.35">
      <c r="A42" s="23" t="s">
        <v>178</v>
      </c>
      <c r="B42" s="26">
        <f t="shared" si="1"/>
        <v>11.906000000000001</v>
      </c>
      <c r="C42" s="26">
        <f t="shared" si="2"/>
        <v>0.19060430215501484</v>
      </c>
      <c r="D42" s="26">
        <f t="shared" si="3"/>
        <v>0.8</v>
      </c>
      <c r="E42" s="26">
        <f t="shared" si="4"/>
        <v>23.8</v>
      </c>
      <c r="F42" s="26">
        <f t="shared" si="1"/>
        <v>37.323999999999998</v>
      </c>
      <c r="G42" s="26">
        <f t="shared" si="5"/>
        <v>0.29500847445454786</v>
      </c>
      <c r="H42" s="26">
        <f t="shared" si="6"/>
        <v>22.9</v>
      </c>
      <c r="I42" s="26">
        <f t="shared" si="7"/>
        <v>51.4</v>
      </c>
      <c r="J42" s="26">
        <f t="shared" si="1"/>
        <v>21.624000000000002</v>
      </c>
      <c r="K42" s="26">
        <f t="shared" si="8"/>
        <v>0.29837895368138817</v>
      </c>
      <c r="L42" s="26">
        <f t="shared" si="9"/>
        <v>6.6</v>
      </c>
      <c r="M42" s="26">
        <f t="shared" si="10"/>
        <v>35.1</v>
      </c>
      <c r="N42" s="26">
        <f t="shared" si="1"/>
        <v>59.986000000000004</v>
      </c>
      <c r="O42" s="26">
        <f t="shared" si="11"/>
        <v>8.944271910000955E-3</v>
      </c>
      <c r="P42" s="26">
        <f t="shared" si="12"/>
        <v>58</v>
      </c>
      <c r="Q42" s="26">
        <f t="shared" si="13"/>
        <v>61</v>
      </c>
    </row>
    <row r="44" spans="1:27" x14ac:dyDescent="0.3">
      <c r="A44" s="135"/>
    </row>
  </sheetData>
  <mergeCells count="35">
    <mergeCell ref="A37:A38"/>
    <mergeCell ref="B37:E37"/>
    <mergeCell ref="F37:I37"/>
    <mergeCell ref="J37:M37"/>
    <mergeCell ref="N37:Q37"/>
    <mergeCell ref="A29:XFD29"/>
    <mergeCell ref="A22:XFD22"/>
    <mergeCell ref="A15:XFD15"/>
    <mergeCell ref="A1:XFD1"/>
    <mergeCell ref="A8:XFD8"/>
    <mergeCell ref="A9:A10"/>
    <mergeCell ref="B9:E9"/>
    <mergeCell ref="F9:I9"/>
    <mergeCell ref="J9:M9"/>
    <mergeCell ref="N9:Q9"/>
    <mergeCell ref="A2:A3"/>
    <mergeCell ref="B2:E2"/>
    <mergeCell ref="F2:I2"/>
    <mergeCell ref="J2:M2"/>
    <mergeCell ref="N2:Q2"/>
    <mergeCell ref="A23:A24"/>
    <mergeCell ref="B23:E23"/>
    <mergeCell ref="F23:I23"/>
    <mergeCell ref="J23:M23"/>
    <mergeCell ref="N23:Q23"/>
    <mergeCell ref="A16:A17"/>
    <mergeCell ref="B16:E16"/>
    <mergeCell ref="F16:I16"/>
    <mergeCell ref="J16:M16"/>
    <mergeCell ref="N16:Q16"/>
    <mergeCell ref="A30:A31"/>
    <mergeCell ref="B30:E30"/>
    <mergeCell ref="F30:I30"/>
    <mergeCell ref="J30:M30"/>
    <mergeCell ref="N30:Q30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25" zoomScaleNormal="100" workbookViewId="0">
      <selection activeCell="F48" sqref="F48"/>
    </sheetView>
  </sheetViews>
  <sheetFormatPr defaultRowHeight="15.6" x14ac:dyDescent="0.3"/>
  <cols>
    <col min="1" max="1" width="21" style="2" customWidth="1"/>
    <col min="2" max="17" width="8.88671875" style="44"/>
    <col min="18" max="18" width="53.33203125" style="91" customWidth="1"/>
    <col min="19" max="16384" width="8.88671875" style="44"/>
  </cols>
  <sheetData>
    <row r="1" spans="1:27" s="249" customFormat="1" ht="16.2" thickBot="1" x14ac:dyDescent="0.35">
      <c r="A1" s="246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8"/>
    </row>
    <row r="2" spans="1:27" s="89" customFormat="1" x14ac:dyDescent="0.3">
      <c r="A2" s="169"/>
      <c r="B2" s="229" t="s">
        <v>0</v>
      </c>
      <c r="C2" s="229"/>
      <c r="D2" s="229"/>
      <c r="E2" s="229"/>
      <c r="F2" s="230" t="s">
        <v>1</v>
      </c>
      <c r="G2" s="230"/>
      <c r="H2" s="230"/>
      <c r="I2" s="230"/>
      <c r="J2" s="229" t="s">
        <v>2</v>
      </c>
      <c r="K2" s="229"/>
      <c r="L2" s="229"/>
      <c r="M2" s="229"/>
      <c r="N2" s="229" t="s">
        <v>3</v>
      </c>
      <c r="O2" s="229"/>
      <c r="P2" s="229"/>
      <c r="Q2" s="229"/>
      <c r="R2" s="88"/>
    </row>
    <row r="3" spans="1:27" s="53" customFormat="1" ht="15.6" customHeight="1" x14ac:dyDescent="0.3">
      <c r="A3" s="172"/>
      <c r="B3" s="27" t="s">
        <v>4</v>
      </c>
      <c r="C3" s="82" t="s">
        <v>5</v>
      </c>
      <c r="D3" s="82" t="s">
        <v>6</v>
      </c>
      <c r="E3" s="82" t="s">
        <v>7</v>
      </c>
      <c r="F3" s="27" t="s">
        <v>4</v>
      </c>
      <c r="G3" s="82" t="s">
        <v>5</v>
      </c>
      <c r="H3" s="82" t="s">
        <v>6</v>
      </c>
      <c r="I3" s="82" t="s">
        <v>7</v>
      </c>
      <c r="J3" s="27" t="s">
        <v>4</v>
      </c>
      <c r="K3" s="82" t="s">
        <v>5</v>
      </c>
      <c r="L3" s="82" t="s">
        <v>6</v>
      </c>
      <c r="M3" s="82" t="s">
        <v>7</v>
      </c>
      <c r="N3" s="27" t="s">
        <v>4</v>
      </c>
      <c r="O3" s="82" t="s">
        <v>5</v>
      </c>
      <c r="P3" s="82" t="s">
        <v>6</v>
      </c>
      <c r="Q3" s="82" t="s">
        <v>7</v>
      </c>
      <c r="R3" s="83"/>
    </row>
    <row r="4" spans="1:27" s="53" customFormat="1" x14ac:dyDescent="0.3">
      <c r="A4" s="115" t="s">
        <v>177</v>
      </c>
      <c r="B4" s="84">
        <v>42.27</v>
      </c>
      <c r="C4" s="84">
        <v>1.92</v>
      </c>
      <c r="D4" s="84">
        <v>33.299999999999997</v>
      </c>
      <c r="E4" s="84">
        <v>46.5</v>
      </c>
      <c r="F4" s="84">
        <v>19.7</v>
      </c>
      <c r="G4" s="84">
        <v>0.34</v>
      </c>
      <c r="H4" s="84">
        <v>19.600000000000001</v>
      </c>
      <c r="I4" s="84">
        <v>22.2</v>
      </c>
      <c r="J4" s="84">
        <v>2.2999999999999998</v>
      </c>
      <c r="K4" s="84">
        <v>0.34</v>
      </c>
      <c r="L4" s="84">
        <v>2.2000000000000002</v>
      </c>
      <c r="M4" s="84">
        <v>4.8</v>
      </c>
      <c r="N4" s="84">
        <v>59.09</v>
      </c>
      <c r="O4" s="84">
        <v>0.28000000000000003</v>
      </c>
      <c r="P4" s="84">
        <v>59</v>
      </c>
      <c r="Q4" s="84">
        <v>60</v>
      </c>
      <c r="R4" s="92" t="s">
        <v>49</v>
      </c>
    </row>
    <row r="5" spans="1:27" s="53" customFormat="1" x14ac:dyDescent="0.3">
      <c r="A5" s="115" t="s">
        <v>8</v>
      </c>
      <c r="B5" s="84">
        <v>28.73</v>
      </c>
      <c r="C5" s="84">
        <v>2.27</v>
      </c>
      <c r="D5" s="84">
        <v>23.6</v>
      </c>
      <c r="E5" s="84">
        <v>34.1</v>
      </c>
      <c r="F5" s="84">
        <v>108.69</v>
      </c>
      <c r="G5" s="84">
        <v>0.36</v>
      </c>
      <c r="H5" s="84">
        <v>108.1</v>
      </c>
      <c r="I5" s="84">
        <v>110.1</v>
      </c>
      <c r="J5" s="84">
        <v>2.89</v>
      </c>
      <c r="K5" s="84">
        <v>0.36</v>
      </c>
      <c r="L5" s="84">
        <v>2.2999999999999998</v>
      </c>
      <c r="M5" s="84">
        <v>4.3</v>
      </c>
      <c r="N5" s="84">
        <v>59</v>
      </c>
      <c r="O5" s="84">
        <v>0</v>
      </c>
      <c r="P5" s="84">
        <v>59</v>
      </c>
      <c r="Q5" s="84">
        <v>59</v>
      </c>
      <c r="R5" s="92" t="s">
        <v>50</v>
      </c>
    </row>
    <row r="6" spans="1:27" s="53" customFormat="1" x14ac:dyDescent="0.3">
      <c r="A6" s="115" t="s">
        <v>9</v>
      </c>
      <c r="B6" s="53">
        <v>32.770000000000003</v>
      </c>
      <c r="C6" s="53">
        <v>1.0900000000000001</v>
      </c>
      <c r="D6" s="53">
        <v>30.4</v>
      </c>
      <c r="E6" s="53">
        <v>35.799999999999997</v>
      </c>
      <c r="F6" s="113">
        <v>109.07</v>
      </c>
      <c r="G6" s="113">
        <v>0.49</v>
      </c>
      <c r="H6" s="113">
        <v>108.1</v>
      </c>
      <c r="I6" s="113">
        <v>109.9</v>
      </c>
      <c r="J6" s="113">
        <v>0.19</v>
      </c>
      <c r="K6" s="113">
        <v>0.26</v>
      </c>
      <c r="L6" s="113">
        <v>0</v>
      </c>
      <c r="M6" s="113">
        <v>0.8</v>
      </c>
      <c r="N6" s="113">
        <v>60</v>
      </c>
      <c r="O6" s="113">
        <v>0</v>
      </c>
      <c r="P6" s="113">
        <v>60</v>
      </c>
      <c r="Q6" s="113">
        <v>60</v>
      </c>
      <c r="R6" s="83" t="s">
        <v>115</v>
      </c>
    </row>
    <row r="7" spans="1:27" s="54" customFormat="1" ht="16.2" thickBot="1" x14ac:dyDescent="0.35">
      <c r="A7" s="23" t="s">
        <v>178</v>
      </c>
      <c r="B7" s="85">
        <v>34.33</v>
      </c>
      <c r="C7" s="85">
        <v>2.4300000000000002</v>
      </c>
      <c r="D7" s="85">
        <v>29.3</v>
      </c>
      <c r="E7" s="85">
        <v>40.700000000000003</v>
      </c>
      <c r="F7" s="85">
        <v>21.93</v>
      </c>
      <c r="G7" s="85">
        <v>1.84</v>
      </c>
      <c r="H7" s="85">
        <v>18.100000000000001</v>
      </c>
      <c r="I7" s="85">
        <v>24.6</v>
      </c>
      <c r="J7" s="85">
        <v>5.73</v>
      </c>
      <c r="K7" s="85">
        <v>1.84</v>
      </c>
      <c r="L7" s="85">
        <v>1.9</v>
      </c>
      <c r="M7" s="85">
        <v>8.4</v>
      </c>
      <c r="N7" s="85">
        <v>60</v>
      </c>
      <c r="O7" s="85">
        <v>0</v>
      </c>
      <c r="P7" s="85">
        <v>60</v>
      </c>
      <c r="Q7" s="85">
        <v>60</v>
      </c>
      <c r="R7" s="93" t="s">
        <v>123</v>
      </c>
      <c r="S7" s="85"/>
      <c r="T7" s="85"/>
      <c r="U7" s="85"/>
      <c r="V7" s="85"/>
      <c r="W7" s="85"/>
      <c r="X7" s="85"/>
      <c r="Y7" s="85"/>
      <c r="Z7" s="85"/>
      <c r="AA7" s="85"/>
    </row>
    <row r="8" spans="1:27" s="245" customFormat="1" ht="16.2" thickBot="1" x14ac:dyDescent="0.35">
      <c r="A8" s="242"/>
      <c r="B8" s="243"/>
      <c r="C8" s="243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43"/>
      <c r="AA8" s="244"/>
    </row>
    <row r="9" spans="1:27" s="89" customFormat="1" x14ac:dyDescent="0.3">
      <c r="A9" s="169"/>
      <c r="B9" s="229" t="s">
        <v>0</v>
      </c>
      <c r="C9" s="229"/>
      <c r="D9" s="229"/>
      <c r="E9" s="229"/>
      <c r="F9" s="230" t="s">
        <v>1</v>
      </c>
      <c r="G9" s="230"/>
      <c r="H9" s="230"/>
      <c r="I9" s="230"/>
      <c r="J9" s="229" t="s">
        <v>2</v>
      </c>
      <c r="K9" s="229"/>
      <c r="L9" s="229"/>
      <c r="M9" s="229"/>
      <c r="N9" s="229" t="s">
        <v>3</v>
      </c>
      <c r="O9" s="229"/>
      <c r="P9" s="229"/>
      <c r="Q9" s="229"/>
      <c r="R9" s="88"/>
    </row>
    <row r="10" spans="1:27" s="53" customFormat="1" x14ac:dyDescent="0.3">
      <c r="A10" s="172"/>
      <c r="B10" s="27" t="s">
        <v>4</v>
      </c>
      <c r="C10" s="82" t="s">
        <v>5</v>
      </c>
      <c r="D10" s="82" t="s">
        <v>6</v>
      </c>
      <c r="E10" s="82" t="s">
        <v>7</v>
      </c>
      <c r="F10" s="27" t="s">
        <v>4</v>
      </c>
      <c r="G10" s="82" t="s">
        <v>5</v>
      </c>
      <c r="H10" s="82" t="s">
        <v>6</v>
      </c>
      <c r="I10" s="82" t="s">
        <v>7</v>
      </c>
      <c r="J10" s="27" t="s">
        <v>4</v>
      </c>
      <c r="K10" s="82" t="s">
        <v>5</v>
      </c>
      <c r="L10" s="82" t="s">
        <v>6</v>
      </c>
      <c r="M10" s="82" t="s">
        <v>7</v>
      </c>
      <c r="N10" s="27" t="s">
        <v>4</v>
      </c>
      <c r="O10" s="82" t="s">
        <v>5</v>
      </c>
      <c r="P10" s="82" t="s">
        <v>6</v>
      </c>
      <c r="Q10" s="82" t="s">
        <v>7</v>
      </c>
      <c r="R10" s="83"/>
    </row>
    <row r="11" spans="1:27" s="53" customFormat="1" x14ac:dyDescent="0.3">
      <c r="A11" s="115" t="s">
        <v>177</v>
      </c>
      <c r="B11" s="87">
        <v>41.43</v>
      </c>
      <c r="C11" s="87">
        <v>1.46</v>
      </c>
      <c r="D11" s="87">
        <v>38.799999999999997</v>
      </c>
      <c r="E11" s="87">
        <v>45</v>
      </c>
      <c r="F11" s="87">
        <v>19.22</v>
      </c>
      <c r="G11" s="87">
        <v>0.1</v>
      </c>
      <c r="H11" s="87">
        <v>19.100000000000001</v>
      </c>
      <c r="I11" s="87">
        <v>19.399999999999999</v>
      </c>
      <c r="J11" s="87">
        <v>2.72</v>
      </c>
      <c r="K11" s="87">
        <v>0.1</v>
      </c>
      <c r="L11" s="87">
        <v>2.6</v>
      </c>
      <c r="M11" s="87">
        <v>2.9</v>
      </c>
      <c r="N11" s="87">
        <v>59.81</v>
      </c>
      <c r="O11" s="87">
        <v>0.4</v>
      </c>
      <c r="P11" s="87">
        <v>59</v>
      </c>
      <c r="Q11" s="87">
        <v>60</v>
      </c>
      <c r="R11" s="92" t="s">
        <v>51</v>
      </c>
    </row>
    <row r="12" spans="1:27" s="53" customFormat="1" x14ac:dyDescent="0.3">
      <c r="A12" s="115" t="s">
        <v>8</v>
      </c>
      <c r="B12" s="53">
        <v>28.91</v>
      </c>
      <c r="C12" s="53">
        <v>2.11</v>
      </c>
      <c r="D12" s="53">
        <v>23.2</v>
      </c>
      <c r="E12" s="53">
        <v>32.9</v>
      </c>
      <c r="F12" s="53">
        <v>111.92</v>
      </c>
      <c r="G12" s="53">
        <v>0.28000000000000003</v>
      </c>
      <c r="H12" s="53">
        <v>111.5</v>
      </c>
      <c r="I12" s="53">
        <v>112.8</v>
      </c>
      <c r="J12" s="53">
        <v>6.32</v>
      </c>
      <c r="K12" s="53">
        <v>0.28000000000000003</v>
      </c>
      <c r="L12" s="53">
        <v>5.9</v>
      </c>
      <c r="M12" s="53">
        <v>7.2</v>
      </c>
      <c r="N12" s="53">
        <v>59</v>
      </c>
      <c r="O12" s="53">
        <v>0</v>
      </c>
      <c r="P12" s="53">
        <v>59</v>
      </c>
      <c r="Q12" s="53">
        <v>59</v>
      </c>
      <c r="R12" s="92" t="s">
        <v>85</v>
      </c>
    </row>
    <row r="13" spans="1:27" s="53" customFormat="1" x14ac:dyDescent="0.3">
      <c r="A13" s="115" t="s">
        <v>9</v>
      </c>
      <c r="B13" s="53">
        <v>33.229999999999997</v>
      </c>
      <c r="C13" s="53">
        <v>0.99</v>
      </c>
      <c r="D13" s="53">
        <v>29</v>
      </c>
      <c r="E13" s="53">
        <v>35.5</v>
      </c>
      <c r="F13" s="53">
        <v>109.09</v>
      </c>
      <c r="G13" s="53">
        <v>0.49</v>
      </c>
      <c r="H13" s="53">
        <v>108.2</v>
      </c>
      <c r="I13" s="53">
        <v>109.9</v>
      </c>
      <c r="J13" s="53">
        <v>0.15</v>
      </c>
      <c r="K13" s="53">
        <v>0.22</v>
      </c>
      <c r="L13" s="53">
        <v>0</v>
      </c>
      <c r="M13" s="53">
        <v>0.7</v>
      </c>
      <c r="N13" s="53">
        <v>60</v>
      </c>
      <c r="O13" s="53">
        <v>0</v>
      </c>
      <c r="P13" s="53">
        <v>60</v>
      </c>
      <c r="Q13" s="53">
        <v>60</v>
      </c>
      <c r="R13" s="83" t="s">
        <v>95</v>
      </c>
    </row>
    <row r="14" spans="1:27" s="54" customFormat="1" ht="16.2" thickBot="1" x14ac:dyDescent="0.35">
      <c r="A14" s="23" t="s">
        <v>178</v>
      </c>
      <c r="B14" s="85">
        <v>39.26</v>
      </c>
      <c r="C14" s="85">
        <v>2.0499999999999998</v>
      </c>
      <c r="D14" s="85">
        <v>33.700000000000003</v>
      </c>
      <c r="E14" s="85">
        <v>43.7</v>
      </c>
      <c r="F14" s="85">
        <v>23.43</v>
      </c>
      <c r="G14" s="85">
        <v>1.92</v>
      </c>
      <c r="H14" s="85">
        <v>18.8</v>
      </c>
      <c r="I14" s="85">
        <v>26.4</v>
      </c>
      <c r="J14" s="85">
        <v>6.73</v>
      </c>
      <c r="K14" s="85">
        <v>1.92</v>
      </c>
      <c r="L14" s="85">
        <v>2.1</v>
      </c>
      <c r="M14" s="85">
        <v>9.6999999999999993</v>
      </c>
      <c r="N14" s="85">
        <v>60</v>
      </c>
      <c r="O14" s="85">
        <v>0.19</v>
      </c>
      <c r="P14" s="85">
        <v>59</v>
      </c>
      <c r="Q14" s="85">
        <v>61</v>
      </c>
      <c r="R14" s="86" t="s">
        <v>131</v>
      </c>
      <c r="S14" s="85"/>
      <c r="T14" s="85"/>
      <c r="U14" s="85"/>
      <c r="V14" s="85"/>
      <c r="W14" s="85"/>
      <c r="X14" s="85"/>
      <c r="Y14" s="85"/>
      <c r="Z14" s="85"/>
      <c r="AA14" s="85"/>
    </row>
    <row r="15" spans="1:27" s="245" customFormat="1" ht="16.2" thickBot="1" x14ac:dyDescent="0.35">
      <c r="A15" s="242"/>
      <c r="B15" s="243"/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4"/>
    </row>
    <row r="16" spans="1:27" s="89" customFormat="1" x14ac:dyDescent="0.3">
      <c r="A16" s="169"/>
      <c r="B16" s="229" t="s">
        <v>0</v>
      </c>
      <c r="C16" s="229"/>
      <c r="D16" s="229"/>
      <c r="E16" s="229"/>
      <c r="F16" s="230" t="s">
        <v>1</v>
      </c>
      <c r="G16" s="230"/>
      <c r="H16" s="230"/>
      <c r="I16" s="230"/>
      <c r="J16" s="229" t="s">
        <v>2</v>
      </c>
      <c r="K16" s="229"/>
      <c r="L16" s="229"/>
      <c r="M16" s="229"/>
      <c r="N16" s="229" t="s">
        <v>3</v>
      </c>
      <c r="O16" s="229"/>
      <c r="P16" s="229"/>
      <c r="Q16" s="229"/>
      <c r="R16" s="88"/>
    </row>
    <row r="17" spans="1:27" s="53" customFormat="1" x14ac:dyDescent="0.3">
      <c r="A17" s="172"/>
      <c r="B17" s="27" t="s">
        <v>4</v>
      </c>
      <c r="C17" s="82" t="s">
        <v>5</v>
      </c>
      <c r="D17" s="82" t="s">
        <v>6</v>
      </c>
      <c r="E17" s="82" t="s">
        <v>7</v>
      </c>
      <c r="F17" s="27" t="s">
        <v>4</v>
      </c>
      <c r="G17" s="82" t="s">
        <v>5</v>
      </c>
      <c r="H17" s="82" t="s">
        <v>6</v>
      </c>
      <c r="I17" s="82" t="s">
        <v>7</v>
      </c>
      <c r="J17" s="27" t="s">
        <v>4</v>
      </c>
      <c r="K17" s="82" t="s">
        <v>5</v>
      </c>
      <c r="L17" s="82" t="s">
        <v>6</v>
      </c>
      <c r="M17" s="82" t="s">
        <v>7</v>
      </c>
      <c r="N17" s="27" t="s">
        <v>4</v>
      </c>
      <c r="O17" s="82" t="s">
        <v>5</v>
      </c>
      <c r="P17" s="82" t="s">
        <v>6</v>
      </c>
      <c r="Q17" s="82" t="s">
        <v>7</v>
      </c>
      <c r="R17" s="83"/>
    </row>
    <row r="18" spans="1:27" s="53" customFormat="1" x14ac:dyDescent="0.3">
      <c r="A18" s="115" t="s">
        <v>177</v>
      </c>
      <c r="B18" s="87">
        <v>42.31</v>
      </c>
      <c r="C18" s="87">
        <v>1.39</v>
      </c>
      <c r="D18" s="87">
        <v>39.1</v>
      </c>
      <c r="E18" s="87">
        <v>45.2</v>
      </c>
      <c r="F18" s="87">
        <v>19.63</v>
      </c>
      <c r="G18" s="87">
        <v>0.34</v>
      </c>
      <c r="H18" s="87">
        <v>19.5</v>
      </c>
      <c r="I18" s="87">
        <v>22.1</v>
      </c>
      <c r="J18" s="87">
        <v>2.33</v>
      </c>
      <c r="K18" s="87">
        <v>0.34</v>
      </c>
      <c r="L18" s="87">
        <v>2.2000000000000002</v>
      </c>
      <c r="M18" s="87">
        <v>4.8</v>
      </c>
      <c r="N18" s="87">
        <v>59</v>
      </c>
      <c r="O18" s="87">
        <v>0</v>
      </c>
      <c r="P18" s="87">
        <v>59</v>
      </c>
      <c r="Q18" s="87">
        <v>59</v>
      </c>
      <c r="R18" s="92" t="s">
        <v>52</v>
      </c>
    </row>
    <row r="19" spans="1:27" s="53" customFormat="1" x14ac:dyDescent="0.3">
      <c r="A19" s="115" t="s">
        <v>8</v>
      </c>
      <c r="B19" s="87">
        <v>27.43</v>
      </c>
      <c r="C19" s="87">
        <v>2.56</v>
      </c>
      <c r="D19" s="87">
        <v>21.6</v>
      </c>
      <c r="E19" s="87">
        <v>32.6</v>
      </c>
      <c r="F19" s="87">
        <v>111.76</v>
      </c>
      <c r="G19" s="87">
        <v>0.28000000000000003</v>
      </c>
      <c r="H19" s="87">
        <v>111.2</v>
      </c>
      <c r="I19" s="87">
        <v>112.3</v>
      </c>
      <c r="J19" s="87">
        <v>5.96</v>
      </c>
      <c r="K19" s="87">
        <v>0.28000000000000003</v>
      </c>
      <c r="L19" s="87">
        <v>5.4</v>
      </c>
      <c r="M19" s="87">
        <v>6.5</v>
      </c>
      <c r="N19" s="87">
        <v>59</v>
      </c>
      <c r="O19" s="87">
        <v>0</v>
      </c>
      <c r="P19" s="87">
        <v>59</v>
      </c>
      <c r="Q19" s="87">
        <v>59</v>
      </c>
      <c r="R19" s="92" t="s">
        <v>53</v>
      </c>
    </row>
    <row r="20" spans="1:27" s="53" customFormat="1" x14ac:dyDescent="0.3">
      <c r="A20" s="115" t="s">
        <v>9</v>
      </c>
      <c r="B20" s="53">
        <v>32.75</v>
      </c>
      <c r="C20" s="53">
        <v>0.66</v>
      </c>
      <c r="D20" s="53">
        <v>31.4</v>
      </c>
      <c r="E20" s="53">
        <v>34.1</v>
      </c>
      <c r="F20" s="53">
        <v>108.99</v>
      </c>
      <c r="G20" s="53">
        <v>0.49</v>
      </c>
      <c r="H20" s="53">
        <v>108.1</v>
      </c>
      <c r="I20" s="53">
        <v>110</v>
      </c>
      <c r="J20" s="53">
        <v>1.0900000000000001</v>
      </c>
      <c r="K20" s="53">
        <v>0.49</v>
      </c>
      <c r="L20" s="53">
        <v>0.2</v>
      </c>
      <c r="M20" s="53">
        <v>2.1</v>
      </c>
      <c r="N20" s="53">
        <v>60</v>
      </c>
      <c r="O20" s="53">
        <v>0</v>
      </c>
      <c r="P20" s="53">
        <v>60</v>
      </c>
      <c r="Q20" s="53">
        <v>60</v>
      </c>
      <c r="R20" s="83" t="s">
        <v>98</v>
      </c>
    </row>
    <row r="21" spans="1:27" s="54" customFormat="1" ht="16.2" thickBot="1" x14ac:dyDescent="0.35">
      <c r="A21" s="23" t="s">
        <v>178</v>
      </c>
      <c r="B21" s="85">
        <v>35.47</v>
      </c>
      <c r="C21" s="85">
        <v>2.85</v>
      </c>
      <c r="D21" s="85">
        <v>29.2</v>
      </c>
      <c r="E21" s="85">
        <v>41.4</v>
      </c>
      <c r="F21" s="85">
        <v>22.05</v>
      </c>
      <c r="G21" s="85">
        <v>1.6</v>
      </c>
      <c r="H21" s="85">
        <v>18.5</v>
      </c>
      <c r="I21" s="85">
        <v>24.6</v>
      </c>
      <c r="J21" s="85">
        <v>5.35</v>
      </c>
      <c r="K21" s="85">
        <v>1.6</v>
      </c>
      <c r="L21" s="85">
        <v>1.8</v>
      </c>
      <c r="M21" s="85">
        <v>7.9</v>
      </c>
      <c r="N21" s="85">
        <v>60</v>
      </c>
      <c r="O21" s="85">
        <v>0</v>
      </c>
      <c r="P21" s="85">
        <v>60</v>
      </c>
      <c r="Q21" s="85">
        <v>60</v>
      </c>
      <c r="R21" s="86" t="s">
        <v>138</v>
      </c>
      <c r="S21" s="85"/>
      <c r="T21" s="85"/>
      <c r="U21" s="85"/>
      <c r="V21" s="85"/>
      <c r="W21" s="85"/>
      <c r="X21" s="85"/>
      <c r="Y21" s="85"/>
      <c r="Z21" s="85"/>
      <c r="AA21" s="85"/>
    </row>
    <row r="22" spans="1:27" s="245" customFormat="1" ht="16.2" thickBot="1" x14ac:dyDescent="0.35">
      <c r="A22" s="242"/>
      <c r="B22" s="243"/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4"/>
    </row>
    <row r="23" spans="1:27" s="89" customFormat="1" x14ac:dyDescent="0.3">
      <c r="A23" s="169"/>
      <c r="B23" s="229" t="s">
        <v>0</v>
      </c>
      <c r="C23" s="229"/>
      <c r="D23" s="229"/>
      <c r="E23" s="229"/>
      <c r="F23" s="230" t="s">
        <v>1</v>
      </c>
      <c r="G23" s="230"/>
      <c r="H23" s="230"/>
      <c r="I23" s="230"/>
      <c r="J23" s="229" t="s">
        <v>2</v>
      </c>
      <c r="K23" s="229"/>
      <c r="L23" s="229"/>
      <c r="M23" s="229"/>
      <c r="N23" s="229" t="s">
        <v>3</v>
      </c>
      <c r="O23" s="229"/>
      <c r="P23" s="229"/>
      <c r="Q23" s="229"/>
      <c r="R23" s="88"/>
    </row>
    <row r="24" spans="1:27" s="53" customFormat="1" x14ac:dyDescent="0.3">
      <c r="A24" s="172"/>
      <c r="B24" s="27" t="s">
        <v>4</v>
      </c>
      <c r="C24" s="82" t="s">
        <v>5</v>
      </c>
      <c r="D24" s="82" t="s">
        <v>6</v>
      </c>
      <c r="E24" s="82" t="s">
        <v>7</v>
      </c>
      <c r="F24" s="27" t="s">
        <v>4</v>
      </c>
      <c r="G24" s="82" t="s">
        <v>5</v>
      </c>
      <c r="H24" s="82" t="s">
        <v>6</v>
      </c>
      <c r="I24" s="82" t="s">
        <v>7</v>
      </c>
      <c r="J24" s="27" t="s">
        <v>4</v>
      </c>
      <c r="K24" s="82" t="s">
        <v>5</v>
      </c>
      <c r="L24" s="82" t="s">
        <v>6</v>
      </c>
      <c r="M24" s="82" t="s">
        <v>7</v>
      </c>
      <c r="N24" s="27" t="s">
        <v>4</v>
      </c>
      <c r="O24" s="82" t="s">
        <v>5</v>
      </c>
      <c r="P24" s="82" t="s">
        <v>6</v>
      </c>
      <c r="Q24" s="82" t="s">
        <v>7</v>
      </c>
      <c r="R24" s="83"/>
    </row>
    <row r="25" spans="1:27" s="53" customFormat="1" x14ac:dyDescent="0.3">
      <c r="A25" s="115" t="s">
        <v>177</v>
      </c>
      <c r="B25" s="87">
        <v>41.93</v>
      </c>
      <c r="C25" s="87">
        <v>1.46</v>
      </c>
      <c r="D25" s="87">
        <v>38.200000000000003</v>
      </c>
      <c r="E25" s="87">
        <v>44.9</v>
      </c>
      <c r="F25" s="87">
        <v>19.7</v>
      </c>
      <c r="G25" s="87">
        <v>0.33</v>
      </c>
      <c r="H25" s="87">
        <v>19.600000000000001</v>
      </c>
      <c r="I25" s="87">
        <v>22.1</v>
      </c>
      <c r="J25" s="87">
        <v>2.8</v>
      </c>
      <c r="K25" s="87">
        <v>0.33</v>
      </c>
      <c r="L25" s="87">
        <v>2.7</v>
      </c>
      <c r="M25" s="87">
        <v>5.2</v>
      </c>
      <c r="N25" s="87">
        <v>59</v>
      </c>
      <c r="O25" s="87">
        <v>0</v>
      </c>
      <c r="P25" s="87">
        <v>59</v>
      </c>
      <c r="Q25" s="87">
        <v>59</v>
      </c>
      <c r="R25" s="92" t="s">
        <v>60</v>
      </c>
    </row>
    <row r="26" spans="1:27" s="53" customFormat="1" x14ac:dyDescent="0.3">
      <c r="A26" s="115" t="s">
        <v>8</v>
      </c>
      <c r="B26" s="53">
        <v>27.93</v>
      </c>
      <c r="C26" s="53">
        <v>2.5099999999999998</v>
      </c>
      <c r="D26" s="53">
        <v>22.9</v>
      </c>
      <c r="E26" s="53">
        <v>33.299999999999997</v>
      </c>
      <c r="F26" s="53">
        <v>109.24</v>
      </c>
      <c r="G26" s="53">
        <v>0.36</v>
      </c>
      <c r="H26" s="53">
        <v>108.7</v>
      </c>
      <c r="I26" s="53">
        <v>110.1</v>
      </c>
      <c r="J26" s="53">
        <v>3.24</v>
      </c>
      <c r="K26" s="53">
        <v>0.36</v>
      </c>
      <c r="L26" s="53">
        <v>2.7</v>
      </c>
      <c r="M26" s="53">
        <v>4.0999999999999996</v>
      </c>
      <c r="N26" s="87">
        <v>59</v>
      </c>
      <c r="O26" s="87">
        <v>0</v>
      </c>
      <c r="P26" s="87">
        <v>59</v>
      </c>
      <c r="Q26" s="87">
        <v>59</v>
      </c>
      <c r="R26" s="92" t="s">
        <v>66</v>
      </c>
    </row>
    <row r="27" spans="1:27" s="53" customFormat="1" x14ac:dyDescent="0.3">
      <c r="A27" s="115" t="s">
        <v>9</v>
      </c>
      <c r="B27" s="114">
        <v>32.9</v>
      </c>
      <c r="C27" s="90">
        <v>1.95</v>
      </c>
      <c r="D27" s="90">
        <v>23</v>
      </c>
      <c r="E27" s="90">
        <v>36.299999999999997</v>
      </c>
      <c r="F27" s="90">
        <v>109.05</v>
      </c>
      <c r="G27" s="90">
        <v>0.47</v>
      </c>
      <c r="H27" s="90">
        <v>108.3</v>
      </c>
      <c r="I27" s="90">
        <v>109.8</v>
      </c>
      <c r="J27" s="90">
        <v>0.23</v>
      </c>
      <c r="K27" s="90">
        <v>0.28000000000000003</v>
      </c>
      <c r="L27" s="90">
        <v>0</v>
      </c>
      <c r="M27" s="90">
        <v>0.8</v>
      </c>
      <c r="N27" s="90">
        <v>60</v>
      </c>
      <c r="O27" s="90">
        <v>0</v>
      </c>
      <c r="P27" s="90">
        <v>60</v>
      </c>
      <c r="Q27" s="90">
        <v>60</v>
      </c>
      <c r="R27" s="94" t="s">
        <v>161</v>
      </c>
      <c r="S27" s="90"/>
      <c r="T27" s="90"/>
      <c r="U27" s="90"/>
      <c r="V27" s="90"/>
      <c r="W27" s="90"/>
      <c r="X27" s="90"/>
      <c r="Y27" s="90"/>
      <c r="Z27" s="90"/>
      <c r="AA27" s="90"/>
    </row>
    <row r="28" spans="1:27" s="54" customFormat="1" ht="16.2" thickBot="1" x14ac:dyDescent="0.35">
      <c r="A28" s="23" t="s">
        <v>178</v>
      </c>
      <c r="B28" s="85">
        <v>37.119999999999997</v>
      </c>
      <c r="C28" s="85">
        <v>1.98</v>
      </c>
      <c r="D28" s="85">
        <v>31.8</v>
      </c>
      <c r="E28" s="85">
        <v>41.1</v>
      </c>
      <c r="F28" s="85">
        <v>22.26</v>
      </c>
      <c r="G28" s="85">
        <v>1.96</v>
      </c>
      <c r="H28" s="85">
        <v>18</v>
      </c>
      <c r="I28" s="85">
        <v>25.2</v>
      </c>
      <c r="J28" s="85">
        <v>6.06</v>
      </c>
      <c r="K28" s="85">
        <v>1.96</v>
      </c>
      <c r="L28" s="85">
        <v>1.8</v>
      </c>
      <c r="M28" s="85">
        <v>9</v>
      </c>
      <c r="N28" s="85">
        <v>60</v>
      </c>
      <c r="O28" s="85">
        <v>0</v>
      </c>
      <c r="P28" s="85">
        <v>60</v>
      </c>
      <c r="Q28" s="85">
        <v>60</v>
      </c>
      <c r="R28" s="86" t="s">
        <v>146</v>
      </c>
      <c r="S28" s="85"/>
      <c r="T28" s="85"/>
      <c r="U28" s="85"/>
      <c r="V28" s="85"/>
      <c r="W28" s="85"/>
      <c r="X28" s="85"/>
      <c r="Y28" s="85"/>
      <c r="Z28" s="85"/>
      <c r="AA28" s="85"/>
    </row>
    <row r="29" spans="1:27" s="245" customFormat="1" ht="16.2" thickBot="1" x14ac:dyDescent="0.35">
      <c r="A29" s="242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4"/>
    </row>
    <row r="30" spans="1:27" s="89" customFormat="1" x14ac:dyDescent="0.3">
      <c r="A30" s="167"/>
      <c r="B30" s="229" t="s">
        <v>0</v>
      </c>
      <c r="C30" s="229"/>
      <c r="D30" s="229"/>
      <c r="E30" s="229"/>
      <c r="F30" s="230" t="s">
        <v>1</v>
      </c>
      <c r="G30" s="230"/>
      <c r="H30" s="230"/>
      <c r="I30" s="230"/>
      <c r="J30" s="229" t="s">
        <v>2</v>
      </c>
      <c r="K30" s="229"/>
      <c r="L30" s="229"/>
      <c r="M30" s="229"/>
      <c r="N30" s="229" t="s">
        <v>3</v>
      </c>
      <c r="O30" s="229"/>
      <c r="P30" s="229"/>
      <c r="Q30" s="229"/>
      <c r="R30" s="88"/>
    </row>
    <row r="31" spans="1:27" s="53" customFormat="1" x14ac:dyDescent="0.3">
      <c r="A31" s="168"/>
      <c r="B31" s="27" t="s">
        <v>4</v>
      </c>
      <c r="C31" s="82" t="s">
        <v>5</v>
      </c>
      <c r="D31" s="82" t="s">
        <v>6</v>
      </c>
      <c r="E31" s="82" t="s">
        <v>7</v>
      </c>
      <c r="F31" s="27" t="s">
        <v>4</v>
      </c>
      <c r="G31" s="82" t="s">
        <v>5</v>
      </c>
      <c r="H31" s="82" t="s">
        <v>6</v>
      </c>
      <c r="I31" s="82" t="s">
        <v>7</v>
      </c>
      <c r="J31" s="27" t="s">
        <v>4</v>
      </c>
      <c r="K31" s="82" t="s">
        <v>5</v>
      </c>
      <c r="L31" s="82" t="s">
        <v>6</v>
      </c>
      <c r="M31" s="82" t="s">
        <v>7</v>
      </c>
      <c r="N31" s="27" t="s">
        <v>4</v>
      </c>
      <c r="O31" s="82" t="s">
        <v>5</v>
      </c>
      <c r="P31" s="82" t="s">
        <v>6</v>
      </c>
      <c r="Q31" s="82" t="s">
        <v>7</v>
      </c>
      <c r="R31" s="83"/>
    </row>
    <row r="32" spans="1:27" s="53" customFormat="1" x14ac:dyDescent="0.3">
      <c r="A32" s="115" t="s">
        <v>177</v>
      </c>
      <c r="B32" s="87">
        <v>38.42</v>
      </c>
      <c r="C32" s="87">
        <v>2.62</v>
      </c>
      <c r="D32" s="87">
        <v>33</v>
      </c>
      <c r="E32" s="87">
        <v>44.1</v>
      </c>
      <c r="F32" s="87">
        <v>19.760000000000002</v>
      </c>
      <c r="G32" s="87">
        <v>7.0000000000000007E-2</v>
      </c>
      <c r="H32" s="87">
        <v>19.7</v>
      </c>
      <c r="I32" s="87">
        <v>20</v>
      </c>
      <c r="J32" s="87">
        <v>2.06</v>
      </c>
      <c r="K32" s="87">
        <v>7.0000000000000007E-2</v>
      </c>
      <c r="L32" s="87">
        <v>2</v>
      </c>
      <c r="M32" s="87">
        <v>2.2999999999999998</v>
      </c>
      <c r="N32" s="87">
        <v>59.02</v>
      </c>
      <c r="O32" s="87">
        <v>0.13</v>
      </c>
      <c r="P32" s="87">
        <v>59</v>
      </c>
      <c r="Q32" s="87">
        <v>60</v>
      </c>
      <c r="R32" s="92" t="s">
        <v>71</v>
      </c>
    </row>
    <row r="33" spans="1:27" s="53" customFormat="1" x14ac:dyDescent="0.3">
      <c r="A33" s="115" t="s">
        <v>8</v>
      </c>
      <c r="B33" s="53">
        <v>27.16</v>
      </c>
      <c r="C33" s="53">
        <v>2.42</v>
      </c>
      <c r="D33" s="53">
        <v>22.4</v>
      </c>
      <c r="E33" s="53">
        <v>33.200000000000003</v>
      </c>
      <c r="F33" s="53">
        <v>108.83</v>
      </c>
      <c r="G33" s="53">
        <v>0.33</v>
      </c>
      <c r="H33" s="53">
        <v>108.3</v>
      </c>
      <c r="I33" s="53">
        <v>109.9</v>
      </c>
      <c r="J33" s="53">
        <v>2.33</v>
      </c>
      <c r="K33" s="53">
        <v>0.33</v>
      </c>
      <c r="L33" s="53">
        <v>1.8</v>
      </c>
      <c r="M33" s="53">
        <v>3.4</v>
      </c>
      <c r="N33" s="53">
        <v>59</v>
      </c>
      <c r="O33" s="53">
        <v>0</v>
      </c>
      <c r="P33" s="53">
        <v>59</v>
      </c>
      <c r="Q33" s="53">
        <v>59</v>
      </c>
      <c r="R33" s="83" t="s">
        <v>72</v>
      </c>
    </row>
    <row r="34" spans="1:27" s="53" customFormat="1" x14ac:dyDescent="0.3">
      <c r="A34" s="115" t="s">
        <v>9</v>
      </c>
      <c r="B34" s="114">
        <v>32.96</v>
      </c>
      <c r="C34" s="90">
        <v>0.84</v>
      </c>
      <c r="D34" s="90">
        <v>31.6</v>
      </c>
      <c r="E34" s="90">
        <v>35.1</v>
      </c>
      <c r="F34" s="90">
        <v>109.12</v>
      </c>
      <c r="G34" s="90">
        <v>0.49</v>
      </c>
      <c r="H34" s="90">
        <v>108.1</v>
      </c>
      <c r="I34" s="90">
        <v>109.9</v>
      </c>
      <c r="J34" s="90">
        <v>0.18</v>
      </c>
      <c r="K34" s="90">
        <v>0.24</v>
      </c>
      <c r="L34" s="90">
        <v>0</v>
      </c>
      <c r="M34" s="90">
        <v>0.7</v>
      </c>
      <c r="N34" s="90">
        <v>60</v>
      </c>
      <c r="O34" s="90">
        <v>0</v>
      </c>
      <c r="P34" s="53">
        <v>60</v>
      </c>
      <c r="Q34" s="90">
        <v>60</v>
      </c>
      <c r="R34" s="94" t="s">
        <v>114</v>
      </c>
      <c r="S34" s="90"/>
      <c r="T34" s="90"/>
      <c r="U34" s="90"/>
      <c r="V34" s="90"/>
      <c r="W34" s="90"/>
      <c r="X34" s="90"/>
      <c r="Y34" s="90"/>
      <c r="Z34" s="90"/>
      <c r="AA34" s="90"/>
    </row>
    <row r="35" spans="1:27" s="147" customFormat="1" ht="16.2" thickBot="1" x14ac:dyDescent="0.35">
      <c r="A35" s="23" t="s">
        <v>178</v>
      </c>
      <c r="B35" s="145">
        <v>35.36</v>
      </c>
      <c r="C35" s="145">
        <v>2.2400000000000002</v>
      </c>
      <c r="D35" s="145">
        <v>30.8</v>
      </c>
      <c r="E35" s="145">
        <v>39.299999999999997</v>
      </c>
      <c r="F35" s="145">
        <v>21.73</v>
      </c>
      <c r="G35" s="145">
        <v>1.8</v>
      </c>
      <c r="H35" s="145">
        <v>18</v>
      </c>
      <c r="I35" s="145">
        <v>24.6</v>
      </c>
      <c r="J35" s="145">
        <v>5.13</v>
      </c>
      <c r="K35" s="145">
        <v>1.8</v>
      </c>
      <c r="L35" s="145">
        <v>1.4</v>
      </c>
      <c r="M35" s="145">
        <v>8</v>
      </c>
      <c r="N35" s="145">
        <v>60</v>
      </c>
      <c r="O35" s="145">
        <v>0</v>
      </c>
      <c r="P35" s="145">
        <v>60</v>
      </c>
      <c r="Q35" s="145">
        <v>60</v>
      </c>
      <c r="R35" s="146" t="s">
        <v>154</v>
      </c>
      <c r="S35" s="145"/>
      <c r="T35" s="145"/>
      <c r="U35" s="145"/>
      <c r="V35" s="145"/>
      <c r="W35" s="145"/>
      <c r="X35" s="145"/>
      <c r="Y35" s="145"/>
      <c r="Z35" s="145"/>
      <c r="AA35" s="145"/>
    </row>
    <row r="36" spans="1:27" s="253" customFormat="1" ht="16.2" thickBot="1" x14ac:dyDescent="0.35">
      <c r="A36" s="250"/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2"/>
      <c r="S36" s="251"/>
      <c r="T36" s="251"/>
      <c r="U36" s="251"/>
      <c r="V36" s="251"/>
      <c r="W36" s="251"/>
      <c r="X36" s="251"/>
      <c r="Y36" s="251"/>
      <c r="Z36" s="251"/>
      <c r="AA36" s="251"/>
    </row>
    <row r="37" spans="1:27" ht="15.6" customHeight="1" x14ac:dyDescent="0.3">
      <c r="A37" s="179"/>
      <c r="B37" s="221" t="s">
        <v>0</v>
      </c>
      <c r="C37" s="222"/>
      <c r="D37" s="222"/>
      <c r="E37" s="223"/>
      <c r="F37" s="224" t="s">
        <v>1</v>
      </c>
      <c r="G37" s="225"/>
      <c r="H37" s="225"/>
      <c r="I37" s="226"/>
      <c r="J37" s="221" t="s">
        <v>2</v>
      </c>
      <c r="K37" s="222"/>
      <c r="L37" s="222"/>
      <c r="M37" s="223"/>
      <c r="N37" s="221" t="s">
        <v>3</v>
      </c>
      <c r="O37" s="222"/>
      <c r="P37" s="222"/>
      <c r="Q37" s="223"/>
    </row>
    <row r="38" spans="1:27" x14ac:dyDescent="0.3">
      <c r="A38" s="180"/>
      <c r="B38" s="67" t="s">
        <v>4</v>
      </c>
      <c r="C38" s="68" t="s">
        <v>172</v>
      </c>
      <c r="D38" s="68" t="s">
        <v>6</v>
      </c>
      <c r="E38" s="68" t="s">
        <v>7</v>
      </c>
      <c r="F38" s="68" t="s">
        <v>4</v>
      </c>
      <c r="G38" s="68" t="s">
        <v>172</v>
      </c>
      <c r="H38" s="68" t="s">
        <v>6</v>
      </c>
      <c r="I38" s="68" t="s">
        <v>7</v>
      </c>
      <c r="J38" s="68" t="s">
        <v>4</v>
      </c>
      <c r="K38" s="68" t="s">
        <v>172</v>
      </c>
      <c r="L38" s="68" t="s">
        <v>6</v>
      </c>
      <c r="M38" s="68" t="s">
        <v>7</v>
      </c>
      <c r="N38" s="68" t="s">
        <v>4</v>
      </c>
      <c r="O38" s="68" t="s">
        <v>172</v>
      </c>
      <c r="P38" s="68" t="s">
        <v>6</v>
      </c>
      <c r="Q38" s="68" t="s">
        <v>7</v>
      </c>
    </row>
    <row r="39" spans="1:27" x14ac:dyDescent="0.3">
      <c r="A39" s="115" t="s">
        <v>177</v>
      </c>
      <c r="B39" s="26">
        <f>AVERAGE(B4,B11,B18,B25,B32)</f>
        <v>41.272000000000006</v>
      </c>
      <c r="C39" s="26">
        <f>_xlfn.STDEV.S(B4,B11,B18,B25,B32)</f>
        <v>1.6328870138500093</v>
      </c>
      <c r="D39" s="26">
        <f>MIN(D4,D11,D18,D25,D32)</f>
        <v>33</v>
      </c>
      <c r="E39" s="26">
        <f>MAX(E4,E11,E18,E25,E32)</f>
        <v>46.5</v>
      </c>
      <c r="F39" s="26">
        <f t="shared" ref="F39:N39" si="0">AVERAGE(F4,F11,F18,F25,F32)</f>
        <v>19.602</v>
      </c>
      <c r="G39" s="26">
        <f>_xlfn.STDEV.S(F4,F11,F18,F25,F32)</f>
        <v>0.21844907873461097</v>
      </c>
      <c r="H39" s="26">
        <f>MIN(H4,H11,H18,H25,H32)</f>
        <v>19.100000000000001</v>
      </c>
      <c r="I39" s="26">
        <f>MAX(I4,I11,I18,I25,I32)</f>
        <v>22.2</v>
      </c>
      <c r="J39" s="26">
        <f t="shared" si="0"/>
        <v>2.4419999999999997</v>
      </c>
      <c r="K39" s="26">
        <f>_xlfn.STDEV.S(J4,J11,J18,J25,J32)</f>
        <v>0.30987094087700623</v>
      </c>
      <c r="L39" s="26">
        <f>MIN(L4,L11,L18,L25,L32)</f>
        <v>2</v>
      </c>
      <c r="M39" s="26">
        <f>MAX(M4,M11,M18,M25,M32)</f>
        <v>5.2</v>
      </c>
      <c r="N39" s="26">
        <f t="shared" si="0"/>
        <v>59.184000000000005</v>
      </c>
      <c r="O39" s="26">
        <f>_xlfn.STDEV.S(N4,N11,N18,N25,N32)</f>
        <v>0.35189487066452146</v>
      </c>
      <c r="P39" s="26">
        <f>MIN(P4,P11,P18,P25,P32)</f>
        <v>59</v>
      </c>
      <c r="Q39" s="26">
        <f>MAX(Q4,Q11,Q18,Q25,Q32)</f>
        <v>60</v>
      </c>
    </row>
    <row r="40" spans="1:27" x14ac:dyDescent="0.3">
      <c r="A40" s="115" t="s">
        <v>8</v>
      </c>
      <c r="B40" s="26">
        <f t="shared" ref="B40:N42" si="1">AVERAGE(B5,B12,B19,B26,B33)</f>
        <v>28.032</v>
      </c>
      <c r="C40" s="26">
        <f t="shared" ref="C40:C42" si="2">_xlfn.STDEV.S(B5,B12,B19,B26,B33)</f>
        <v>0.77318820477293904</v>
      </c>
      <c r="D40" s="26">
        <f t="shared" ref="D40:D42" si="3">MIN(D5,D12,D19,D26,D33)</f>
        <v>21.6</v>
      </c>
      <c r="E40" s="26">
        <f t="shared" ref="E40:E42" si="4">MAX(E5,E12,E19,E26,E33)</f>
        <v>34.1</v>
      </c>
      <c r="F40" s="26">
        <f t="shared" si="1"/>
        <v>110.08800000000001</v>
      </c>
      <c r="G40" s="26">
        <f t="shared" ref="G40:G42" si="5">_xlfn.STDEV.S(F5,F12,F19,F26,F33)</f>
        <v>1.6130623050583046</v>
      </c>
      <c r="H40" s="26">
        <f t="shared" ref="H40:H42" si="6">MIN(H5,H12,H19,H26,H33)</f>
        <v>108.1</v>
      </c>
      <c r="I40" s="26">
        <f t="shared" ref="I40:I42" si="7">MAX(I5,I12,I19,I26,I33)</f>
        <v>112.8</v>
      </c>
      <c r="J40" s="26">
        <f t="shared" si="1"/>
        <v>4.1480000000000006</v>
      </c>
      <c r="K40" s="26">
        <f t="shared" ref="K40:K42" si="8">_xlfn.STDEV.S(J5,J12,J19,J26,J33)</f>
        <v>1.851558802738924</v>
      </c>
      <c r="L40" s="26">
        <f t="shared" ref="L40:L42" si="9">MIN(L5,L12,L19,L26,L33)</f>
        <v>1.8</v>
      </c>
      <c r="M40" s="26">
        <f t="shared" ref="M40:M42" si="10">MAX(M5,M12,M19,M26,M33)</f>
        <v>7.2</v>
      </c>
      <c r="N40" s="26">
        <f t="shared" si="1"/>
        <v>59</v>
      </c>
      <c r="O40" s="26">
        <f t="shared" ref="O40:O42" si="11">_xlfn.STDEV.S(N5,N12,N19,N26,N33)</f>
        <v>0</v>
      </c>
      <c r="P40" s="26">
        <f t="shared" ref="P40:P42" si="12">MIN(P5,P12,P19,P26,P33)</f>
        <v>59</v>
      </c>
      <c r="Q40" s="26">
        <f t="shared" ref="Q40:Q42" si="13">MAX(Q5,Q12,Q19,Q26,Q33)</f>
        <v>59</v>
      </c>
    </row>
    <row r="41" spans="1:27" x14ac:dyDescent="0.3">
      <c r="A41" s="115" t="s">
        <v>9</v>
      </c>
      <c r="B41" s="26">
        <f t="shared" si="1"/>
        <v>32.922000000000004</v>
      </c>
      <c r="C41" s="26">
        <f t="shared" si="2"/>
        <v>0.19331321734428639</v>
      </c>
      <c r="D41" s="26">
        <f t="shared" si="3"/>
        <v>23</v>
      </c>
      <c r="E41" s="26">
        <f t="shared" si="4"/>
        <v>36.299999999999997</v>
      </c>
      <c r="F41" s="26">
        <f t="shared" si="1"/>
        <v>109.06399999999999</v>
      </c>
      <c r="G41" s="26">
        <f t="shared" si="5"/>
        <v>4.8785243670605563E-2</v>
      </c>
      <c r="H41" s="26">
        <f t="shared" si="6"/>
        <v>108.1</v>
      </c>
      <c r="I41" s="26">
        <f t="shared" si="7"/>
        <v>110</v>
      </c>
      <c r="J41" s="26">
        <f t="shared" si="1"/>
        <v>0.36799999999999999</v>
      </c>
      <c r="K41" s="26">
        <f t="shared" si="8"/>
        <v>0.40462328158424105</v>
      </c>
      <c r="L41" s="26">
        <f t="shared" si="9"/>
        <v>0</v>
      </c>
      <c r="M41" s="26">
        <f t="shared" si="10"/>
        <v>2.1</v>
      </c>
      <c r="N41" s="26">
        <f t="shared" si="1"/>
        <v>60</v>
      </c>
      <c r="O41" s="26">
        <f t="shared" si="11"/>
        <v>0</v>
      </c>
      <c r="P41" s="26">
        <f t="shared" si="12"/>
        <v>60</v>
      </c>
      <c r="Q41" s="26">
        <f t="shared" si="13"/>
        <v>60</v>
      </c>
    </row>
    <row r="42" spans="1:27" ht="16.2" thickBot="1" x14ac:dyDescent="0.35">
      <c r="A42" s="23" t="s">
        <v>178</v>
      </c>
      <c r="B42" s="26">
        <f t="shared" si="1"/>
        <v>36.308000000000007</v>
      </c>
      <c r="C42" s="26">
        <f t="shared" si="2"/>
        <v>1.9291889487554086</v>
      </c>
      <c r="D42" s="26">
        <f t="shared" si="3"/>
        <v>29.2</v>
      </c>
      <c r="E42" s="26">
        <f t="shared" si="4"/>
        <v>43.7</v>
      </c>
      <c r="F42" s="26">
        <f t="shared" si="1"/>
        <v>22.28</v>
      </c>
      <c r="G42" s="26">
        <f t="shared" si="5"/>
        <v>0.67096944788864987</v>
      </c>
      <c r="H42" s="26">
        <f t="shared" si="6"/>
        <v>18</v>
      </c>
      <c r="I42" s="26">
        <f t="shared" si="7"/>
        <v>26.4</v>
      </c>
      <c r="J42" s="26">
        <f t="shared" si="1"/>
        <v>5.8</v>
      </c>
      <c r="K42" s="26">
        <f t="shared" si="8"/>
        <v>0.6302380502635494</v>
      </c>
      <c r="L42" s="26">
        <f t="shared" si="9"/>
        <v>1.4</v>
      </c>
      <c r="M42" s="26">
        <f t="shared" si="10"/>
        <v>9.6999999999999993</v>
      </c>
      <c r="N42" s="26">
        <f t="shared" si="1"/>
        <v>60</v>
      </c>
      <c r="O42" s="26">
        <f t="shared" si="11"/>
        <v>0</v>
      </c>
      <c r="P42" s="26">
        <f t="shared" si="12"/>
        <v>59</v>
      </c>
      <c r="Q42" s="26">
        <f t="shared" si="13"/>
        <v>61</v>
      </c>
    </row>
    <row r="44" spans="1:27" x14ac:dyDescent="0.3">
      <c r="A44" s="135"/>
    </row>
  </sheetData>
  <mergeCells count="35">
    <mergeCell ref="A37:A38"/>
    <mergeCell ref="B37:E37"/>
    <mergeCell ref="F37:I37"/>
    <mergeCell ref="J37:M37"/>
    <mergeCell ref="N37:Q37"/>
    <mergeCell ref="A15:XFD15"/>
    <mergeCell ref="A22:XFD22"/>
    <mergeCell ref="A29:XFD29"/>
    <mergeCell ref="A1:XFD1"/>
    <mergeCell ref="N9:Q9"/>
    <mergeCell ref="B2:E2"/>
    <mergeCell ref="F2:I2"/>
    <mergeCell ref="J2:M2"/>
    <mergeCell ref="N2:Q2"/>
    <mergeCell ref="A8:XFD8"/>
    <mergeCell ref="A2:A3"/>
    <mergeCell ref="A9:A10"/>
    <mergeCell ref="B9:E9"/>
    <mergeCell ref="F9:I9"/>
    <mergeCell ref="J9:M9"/>
    <mergeCell ref="A23:A24"/>
    <mergeCell ref="B23:E23"/>
    <mergeCell ref="F23:I23"/>
    <mergeCell ref="J23:M23"/>
    <mergeCell ref="N23:Q23"/>
    <mergeCell ref="A16:A17"/>
    <mergeCell ref="B16:E16"/>
    <mergeCell ref="F16:I16"/>
    <mergeCell ref="J16:M16"/>
    <mergeCell ref="N16:Q16"/>
    <mergeCell ref="A30:A31"/>
    <mergeCell ref="B30:E30"/>
    <mergeCell ref="F30:I30"/>
    <mergeCell ref="J30:M30"/>
    <mergeCell ref="N30:Q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Video Test</vt:lpstr>
      <vt:lpstr>Audio Test</vt:lpstr>
      <vt:lpstr>Storage Write Test</vt:lpstr>
      <vt:lpstr>Storage Read Test</vt:lpstr>
      <vt:lpstr>Json Test</vt:lpstr>
      <vt:lpstr>Map Test</vt:lpstr>
      <vt:lpstr>List Test</vt:lpstr>
      <vt:lpstr>Sensor 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2026-09-20T12:01:00Z</dcterms:modified>
</cp:coreProperties>
</file>